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85" windowHeight="6617" tabRatio="706" activeTab="1"/>
  </bookViews>
  <sheets>
    <sheet name="INPUT &amp; DTBASE Transaksi Cabang" sheetId="1" r:id="rId1"/>
    <sheet name="Data BAse Cost Cabang" sheetId="2" r:id="rId2"/>
    <sheet name="SUMMARY" sheetId="3" r:id="rId3"/>
    <sheet name="INPUT BELANJA HARI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<sst xmlns="http://schemas.openxmlformats.org/spreadsheetml/2006/main" count="177" uniqueCount="99">
  <si>
    <t>lihat di row no 77 kebawah</t>
  </si>
  <si>
    <t>No</t>
  </si>
  <si>
    <t>Masakan</t>
  </si>
  <si>
    <t>Sisa Kemaren</t>
  </si>
  <si>
    <t>Masakan Hari Ini</t>
  </si>
  <si>
    <t>Total Masakan</t>
  </si>
  <si>
    <t>Terjual</t>
  </si>
  <si>
    <t>Sisa</t>
  </si>
  <si>
    <t>Harga</t>
  </si>
  <si>
    <t>Total Pejualan</t>
  </si>
  <si>
    <t>ESTIMASI SISA LAUK BISA DIJUAL</t>
  </si>
  <si>
    <t>LAUK TERBUANG</t>
  </si>
  <si>
    <t>Sayur Sop</t>
  </si>
  <si>
    <t>Sayur Toge</t>
  </si>
  <si>
    <t>Sayur kacang Panjang</t>
  </si>
  <si>
    <t>Sayur Labu</t>
  </si>
  <si>
    <t>Sayur Sawi</t>
  </si>
  <si>
    <t>Sayur Kangkung</t>
  </si>
  <si>
    <t>Sayur Jamur</t>
  </si>
  <si>
    <t>Sayur Daun Singkong</t>
  </si>
  <si>
    <t>Sayur Nangka</t>
  </si>
  <si>
    <t>Terong Balado</t>
  </si>
  <si>
    <t>Kerang Balado</t>
  </si>
  <si>
    <t xml:space="preserve">Kikil </t>
  </si>
  <si>
    <t>Usus</t>
  </si>
  <si>
    <t xml:space="preserve">Ati Ampela  </t>
  </si>
  <si>
    <t>Udang</t>
  </si>
  <si>
    <t>Teri Kacang</t>
  </si>
  <si>
    <t>Ikan Kembung Goreng</t>
  </si>
  <si>
    <t>Ikan Kembung Balado</t>
  </si>
  <si>
    <t>Ikan Lele Goreng</t>
  </si>
  <si>
    <t>Ikan Bawal Goreng</t>
  </si>
  <si>
    <t>Ikan Bandeng Goreng</t>
  </si>
  <si>
    <t>Ikan Bandeng Balado</t>
  </si>
  <si>
    <t>Ikan Nila Goreng</t>
  </si>
  <si>
    <t>Ikan Tongkol Balado</t>
  </si>
  <si>
    <t>Cumi Balado</t>
  </si>
  <si>
    <t>Ayam Goreng</t>
  </si>
  <si>
    <t>Ayam Balado</t>
  </si>
  <si>
    <t>Ayam Cabe Ijo</t>
  </si>
  <si>
    <t>Ayam Opor</t>
  </si>
  <si>
    <t>Ayam Semur</t>
  </si>
  <si>
    <t>Ayam Serundeng</t>
  </si>
  <si>
    <t>Kentang Balado</t>
  </si>
  <si>
    <t>Kentang Musthofa</t>
  </si>
  <si>
    <t>Perkedel</t>
  </si>
  <si>
    <t>Telur Dadar</t>
  </si>
  <si>
    <t>Telur Ceplok</t>
  </si>
  <si>
    <t>Telur Ceplok Balado</t>
  </si>
  <si>
    <t>Telur Bulat Balado</t>
  </si>
  <si>
    <t>Oreg Tempe Basah</t>
  </si>
  <si>
    <t>Oreg Tempe Kering</t>
  </si>
  <si>
    <t>Oreg Tahu Balado</t>
  </si>
  <si>
    <t>Mie Goreng</t>
  </si>
  <si>
    <t>Sayur Pare</t>
  </si>
  <si>
    <t>Sayur Acar Timun</t>
  </si>
  <si>
    <t>Sayur Tahu Santan</t>
  </si>
  <si>
    <t>Sayur Capcay</t>
  </si>
  <si>
    <t>Telur Asin</t>
  </si>
  <si>
    <t>Tahu Kuning</t>
  </si>
  <si>
    <t>Bakso Sosis</t>
  </si>
  <si>
    <t>Otak Otak</t>
  </si>
  <si>
    <t>Semur Jengkol</t>
  </si>
  <si>
    <t>Nasi</t>
  </si>
  <si>
    <t>Gorengan</t>
  </si>
  <si>
    <t>Paket Nasi Box 25</t>
  </si>
  <si>
    <t>Paket Snack</t>
  </si>
  <si>
    <t>Paket Nasi Box 20</t>
  </si>
  <si>
    <t>GRAND TOTAL</t>
  </si>
  <si>
    <t>PENDAPATAN CASH HARI INI</t>
  </si>
  <si>
    <t>TANGGAL : 30 AGUSTUS 2026
HARI        : MINGGU</t>
  </si>
  <si>
    <t>PENDAPATAN QRIS HARI INI</t>
  </si>
  <si>
    <t>TOTAL OMSET HARI INI</t>
  </si>
  <si>
    <t>Tanggal</t>
  </si>
  <si>
    <t>Cabang</t>
  </si>
  <si>
    <t>Jakarta</t>
  </si>
  <si>
    <t>Sisa kemaren Ambil dari (=) sisa hari ini di tanggal sebelumnya tapi rumus mati untuk menu yang warna merah</t>
  </si>
  <si>
    <t>INPUT MANUAL (ADA NOTIFIKASI, JIKA INPUT MANUAL TIDAK SAMA DENGAN GRANDTOTAL DI ROW 147)</t>
  </si>
  <si>
    <t>PENDAPATAN ONLINEFOOD</t>
  </si>
  <si>
    <t>Update database Cost Cabang</t>
  </si>
  <si>
    <t>Filter</t>
  </si>
  <si>
    <t>Sewa Lokasi</t>
  </si>
  <si>
    <t>Biaya Wifi (Internet)</t>
  </si>
  <si>
    <t>Biaya Sampah</t>
  </si>
  <si>
    <t>Biaya Air &amp; Listrik</t>
  </si>
  <si>
    <t>Biaya Netflix</t>
  </si>
  <si>
    <t>IPL</t>
  </si>
  <si>
    <t>Gaji Karyawan</t>
  </si>
  <si>
    <t>BULAN</t>
  </si>
  <si>
    <t>FILTER RENTANG BULAN</t>
  </si>
  <si>
    <t>TANGGAL</t>
  </si>
  <si>
    <t>FILTER RENTANG TANGGAL</t>
  </si>
  <si>
    <t>CABANG</t>
  </si>
  <si>
    <t>PENDAPATAN CASH</t>
  </si>
  <si>
    <t>PENDAPATAN QRIS</t>
  </si>
  <si>
    <t>TOTAL BELANJA</t>
  </si>
  <si>
    <t>BELANJA BAHAN BAKU</t>
  </si>
  <si>
    <t>BELANJA NON BAHAN BAKU</t>
  </si>
  <si>
    <t>BELANJA PRIBADI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</si>
</sst>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_-;\-* #,##0_-;_-* &quot;-&quot;_-;_-@_-"/>
    <numFmt numFmtId="181" formatCode="_-[$Rp-3809]* #,##0_-;\-[$Rp-3809]* #,##0_-;_-[$Rp-3809]* &quot;-&quot;??_-;_-@_-"/>
    <numFmt numFmtId="182" formatCode="_-&quot;Rp&quot;* #,##0_-;\-&quot;Rp&quot;* #,##0_-;_-&quot;Rp&quot;* &quot;-&quot;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8"/>
      <color theme="1"/>
      <name val="Trebuchet MS"/>
      <charset val="134"/>
    </font>
    <font>
      <sz val="8"/>
      <color theme="1"/>
      <name val="Trebuchet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2" applyNumberFormat="0" applyAlignment="0" applyProtection="0">
      <alignment vertical="center"/>
    </xf>
    <xf numFmtId="0" fontId="14" fillId="12" borderId="13" applyNumberFormat="0" applyAlignment="0" applyProtection="0">
      <alignment vertical="center"/>
    </xf>
    <xf numFmtId="0" fontId="15" fillId="12" borderId="12" applyNumberFormat="0" applyAlignment="0" applyProtection="0">
      <alignment vertical="center"/>
    </xf>
    <xf numFmtId="0" fontId="16" fillId="13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/>
    <xf numFmtId="180" fontId="4" fillId="0" borderId="1" xfId="4" applyNumberFormat="1" applyFont="1" applyBorder="1" applyAlignment="1"/>
    <xf numFmtId="181" fontId="4" fillId="0" borderId="1" xfId="4" applyNumberFormat="1" applyFont="1" applyBorder="1" applyAlignment="1"/>
    <xf numFmtId="181" fontId="4" fillId="0" borderId="1" xfId="0" applyNumberFormat="1" applyFont="1" applyFill="1" applyBorder="1" applyAlignment="1"/>
    <xf numFmtId="0" fontId="3" fillId="0" borderId="1" xfId="0" applyFont="1" applyFill="1" applyBorder="1" applyAlignment="1"/>
    <xf numFmtId="181" fontId="4" fillId="0" borderId="1" xfId="4" applyNumberFormat="1" applyFont="1" applyFill="1" applyBorder="1" applyAlignment="1"/>
    <xf numFmtId="180" fontId="3" fillId="0" borderId="1" xfId="4" applyNumberFormat="1" applyFont="1" applyFill="1" applyBorder="1" applyAlignment="1"/>
    <xf numFmtId="180" fontId="4" fillId="0" borderId="1" xfId="4" applyNumberFormat="1" applyFont="1" applyFill="1" applyBorder="1" applyAlignment="1"/>
    <xf numFmtId="180" fontId="4" fillId="0" borderId="1" xfId="4" applyNumberFormat="1" applyFont="1" applyBorder="1" applyAlignment="1">
      <alignment wrapText="1"/>
    </xf>
    <xf numFmtId="180" fontId="3" fillId="0" borderId="1" xfId="4" applyNumberFormat="1" applyFont="1" applyBorder="1" applyAlignment="1"/>
    <xf numFmtId="0" fontId="3" fillId="0" borderId="1" xfId="0" applyFont="1" applyFill="1" applyBorder="1" applyAlignment="1">
      <alignment horizontal="center"/>
    </xf>
    <xf numFmtId="182" fontId="3" fillId="0" borderId="1" xfId="5" applyNumberFormat="1" applyFont="1" applyBorder="1" applyAlignment="1"/>
    <xf numFmtId="0" fontId="4" fillId="0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81" fontId="3" fillId="4" borderId="1" xfId="0" applyNumberFormat="1" applyFont="1" applyFill="1" applyBorder="1" applyAlignment="1"/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/>
    <xf numFmtId="182" fontId="3" fillId="9" borderId="1" xfId="5" applyNumberFormat="1" applyFont="1" applyFill="1" applyBorder="1" applyAlignment="1"/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topLeftCell="A145" workbookViewId="0">
      <selection activeCell="F160" sqref="F160"/>
    </sheetView>
  </sheetViews>
  <sheetFormatPr defaultColWidth="9.1" defaultRowHeight="14.55"/>
  <cols>
    <col min="2" max="2" width="15.5666666666667" customWidth="1"/>
    <col min="9" max="9" width="9.225"/>
  </cols>
  <sheetData>
    <row r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ht="32.15" spans="1:1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>
      <c r="A5" s="7">
        <v>1</v>
      </c>
      <c r="B5" s="7" t="s">
        <v>12</v>
      </c>
      <c r="C5" s="8"/>
      <c r="D5" s="8">
        <v>10</v>
      </c>
      <c r="E5" s="8">
        <f t="shared" ref="E5:E62" si="0">C5+D5</f>
        <v>10</v>
      </c>
      <c r="F5" s="8">
        <v>10</v>
      </c>
      <c r="G5" s="8">
        <f t="shared" ref="G5:G62" si="1">E5-F5</f>
        <v>0</v>
      </c>
      <c r="H5" s="9">
        <v>2000</v>
      </c>
      <c r="I5" s="8">
        <f t="shared" ref="I5:I63" si="2">H5*F5</f>
        <v>20000</v>
      </c>
      <c r="J5" s="8">
        <v>0</v>
      </c>
      <c r="K5" s="10">
        <f t="shared" ref="K5:K11" si="3">G5*H5</f>
        <v>0</v>
      </c>
    </row>
    <row r="6" spans="1:11">
      <c r="A6" s="7">
        <v>2</v>
      </c>
      <c r="B6" s="7" t="s">
        <v>13</v>
      </c>
      <c r="C6" s="8"/>
      <c r="D6" s="8">
        <v>10</v>
      </c>
      <c r="E6" s="8">
        <f t="shared" si="0"/>
        <v>10</v>
      </c>
      <c r="F6" s="8">
        <v>10</v>
      </c>
      <c r="G6" s="8">
        <f t="shared" si="1"/>
        <v>0</v>
      </c>
      <c r="H6" s="9">
        <v>2000</v>
      </c>
      <c r="I6" s="8">
        <f>F6*H6</f>
        <v>20000</v>
      </c>
      <c r="J6" s="8">
        <v>0</v>
      </c>
      <c r="K6" s="10">
        <f t="shared" si="3"/>
        <v>0</v>
      </c>
    </row>
    <row r="7" spans="1:11">
      <c r="A7" s="7">
        <v>3</v>
      </c>
      <c r="B7" s="7" t="s">
        <v>14</v>
      </c>
      <c r="C7" s="8"/>
      <c r="D7" s="8">
        <v>0</v>
      </c>
      <c r="E7" s="8">
        <f t="shared" si="0"/>
        <v>0</v>
      </c>
      <c r="F7" s="8">
        <v>0</v>
      </c>
      <c r="G7" s="8">
        <f t="shared" si="1"/>
        <v>0</v>
      </c>
      <c r="H7" s="9">
        <v>2000</v>
      </c>
      <c r="I7" s="8">
        <f t="shared" si="2"/>
        <v>0</v>
      </c>
      <c r="J7" s="8">
        <v>0</v>
      </c>
      <c r="K7" s="8"/>
    </row>
    <row r="8" spans="1:11">
      <c r="A8" s="7">
        <v>4</v>
      </c>
      <c r="B8" s="7" t="s">
        <v>15</v>
      </c>
      <c r="C8" s="8"/>
      <c r="D8" s="8">
        <v>10</v>
      </c>
      <c r="E8" s="8">
        <f t="shared" si="0"/>
        <v>10</v>
      </c>
      <c r="F8" s="8">
        <v>9</v>
      </c>
      <c r="G8" s="8">
        <f t="shared" si="1"/>
        <v>1</v>
      </c>
      <c r="H8" s="9">
        <v>2000</v>
      </c>
      <c r="I8" s="8">
        <f t="shared" si="2"/>
        <v>18000</v>
      </c>
      <c r="J8" s="8">
        <v>0</v>
      </c>
      <c r="K8" s="10">
        <f t="shared" si="3"/>
        <v>2000</v>
      </c>
    </row>
    <row r="9" spans="1:11">
      <c r="A9" s="7">
        <v>5</v>
      </c>
      <c r="B9" s="7" t="s">
        <v>16</v>
      </c>
      <c r="C9" s="8"/>
      <c r="D9" s="8">
        <v>0</v>
      </c>
      <c r="E9" s="8">
        <f t="shared" si="0"/>
        <v>0</v>
      </c>
      <c r="F9" s="8">
        <v>0</v>
      </c>
      <c r="G9" s="8">
        <f t="shared" si="1"/>
        <v>0</v>
      </c>
      <c r="H9" s="9">
        <v>2000</v>
      </c>
      <c r="I9" s="8">
        <f t="shared" si="2"/>
        <v>0</v>
      </c>
      <c r="J9" s="8">
        <v>0</v>
      </c>
      <c r="K9" s="10">
        <f t="shared" si="3"/>
        <v>0</v>
      </c>
    </row>
    <row r="10" spans="1:11">
      <c r="A10" s="7">
        <v>6</v>
      </c>
      <c r="B10" s="7" t="s">
        <v>17</v>
      </c>
      <c r="C10" s="8"/>
      <c r="D10" s="8">
        <v>0</v>
      </c>
      <c r="E10" s="8">
        <f t="shared" si="0"/>
        <v>0</v>
      </c>
      <c r="F10" s="8">
        <v>0</v>
      </c>
      <c r="G10" s="8">
        <f t="shared" si="1"/>
        <v>0</v>
      </c>
      <c r="H10" s="9">
        <v>2000</v>
      </c>
      <c r="I10" s="8">
        <f t="shared" si="2"/>
        <v>0</v>
      </c>
      <c r="J10" s="8"/>
      <c r="K10" s="10">
        <f t="shared" si="3"/>
        <v>0</v>
      </c>
    </row>
    <row r="11" spans="1:11">
      <c r="A11" s="7">
        <v>7</v>
      </c>
      <c r="B11" s="7" t="s">
        <v>18</v>
      </c>
      <c r="C11" s="8"/>
      <c r="D11" s="8">
        <v>10</v>
      </c>
      <c r="E11" s="8">
        <f t="shared" si="0"/>
        <v>10</v>
      </c>
      <c r="F11" s="8">
        <v>10</v>
      </c>
      <c r="G11" s="8">
        <f t="shared" si="1"/>
        <v>0</v>
      </c>
      <c r="H11" s="9">
        <v>3000</v>
      </c>
      <c r="I11" s="8">
        <f t="shared" si="2"/>
        <v>30000</v>
      </c>
      <c r="J11" s="8"/>
      <c r="K11" s="8">
        <f t="shared" si="3"/>
        <v>0</v>
      </c>
    </row>
    <row r="12" spans="1:11">
      <c r="A12" s="7">
        <v>8</v>
      </c>
      <c r="B12" s="7" t="s">
        <v>19</v>
      </c>
      <c r="C12" s="8"/>
      <c r="D12" s="8"/>
      <c r="E12" s="8">
        <f t="shared" si="0"/>
        <v>0</v>
      </c>
      <c r="F12" s="8"/>
      <c r="G12" s="8">
        <f t="shared" si="1"/>
        <v>0</v>
      </c>
      <c r="H12" s="9">
        <v>3000</v>
      </c>
      <c r="I12" s="8">
        <f t="shared" si="2"/>
        <v>0</v>
      </c>
      <c r="J12" s="8">
        <f t="shared" ref="J12:J49" si="4">G12*H12</f>
        <v>0</v>
      </c>
      <c r="K12" s="8">
        <v>0</v>
      </c>
    </row>
    <row r="13" spans="1:11">
      <c r="A13" s="7">
        <v>9</v>
      </c>
      <c r="B13" s="7" t="s">
        <v>20</v>
      </c>
      <c r="C13" s="8"/>
      <c r="D13" s="8">
        <v>0</v>
      </c>
      <c r="E13" s="8">
        <f t="shared" si="0"/>
        <v>0</v>
      </c>
      <c r="F13" s="8">
        <v>0</v>
      </c>
      <c r="G13" s="8">
        <f t="shared" si="1"/>
        <v>0</v>
      </c>
      <c r="H13" s="9">
        <v>3000</v>
      </c>
      <c r="I13" s="8">
        <f t="shared" si="2"/>
        <v>0</v>
      </c>
      <c r="J13" s="8">
        <f t="shared" si="4"/>
        <v>0</v>
      </c>
      <c r="K13" s="8">
        <f>G13*H13</f>
        <v>0</v>
      </c>
    </row>
    <row r="14" spans="1:11">
      <c r="A14" s="7">
        <v>10</v>
      </c>
      <c r="B14" s="7" t="s">
        <v>21</v>
      </c>
      <c r="C14" s="8">
        <v>0</v>
      </c>
      <c r="D14" s="8">
        <v>0</v>
      </c>
      <c r="E14" s="8">
        <f t="shared" si="0"/>
        <v>0</v>
      </c>
      <c r="F14" s="8">
        <v>0</v>
      </c>
      <c r="G14" s="8">
        <f t="shared" si="1"/>
        <v>0</v>
      </c>
      <c r="H14" s="9">
        <v>3000</v>
      </c>
      <c r="I14" s="8">
        <f t="shared" si="2"/>
        <v>0</v>
      </c>
      <c r="J14" s="8">
        <v>0</v>
      </c>
      <c r="K14" s="8">
        <f>G14*H14</f>
        <v>0</v>
      </c>
    </row>
    <row r="15" spans="1:11">
      <c r="A15" s="7">
        <v>11</v>
      </c>
      <c r="B15" s="7" t="s">
        <v>22</v>
      </c>
      <c r="C15" s="8">
        <v>3</v>
      </c>
      <c r="D15" s="8">
        <v>7</v>
      </c>
      <c r="E15" s="8">
        <f t="shared" si="0"/>
        <v>10</v>
      </c>
      <c r="F15" s="8">
        <v>10</v>
      </c>
      <c r="G15" s="8">
        <f t="shared" si="1"/>
        <v>0</v>
      </c>
      <c r="H15" s="9">
        <v>4000</v>
      </c>
      <c r="I15" s="8">
        <f t="shared" si="2"/>
        <v>40000</v>
      </c>
      <c r="J15" s="8">
        <f t="shared" si="4"/>
        <v>0</v>
      </c>
      <c r="K15" s="8">
        <v>0</v>
      </c>
    </row>
    <row r="16" spans="1:11">
      <c r="A16" s="7">
        <v>12</v>
      </c>
      <c r="B16" s="7" t="s">
        <v>23</v>
      </c>
      <c r="C16" s="8">
        <v>5</v>
      </c>
      <c r="D16" s="8">
        <v>5</v>
      </c>
      <c r="E16" s="8">
        <f t="shared" si="0"/>
        <v>10</v>
      </c>
      <c r="F16" s="8">
        <v>6</v>
      </c>
      <c r="G16" s="8">
        <f t="shared" si="1"/>
        <v>4</v>
      </c>
      <c r="H16" s="9">
        <v>4000</v>
      </c>
      <c r="I16" s="8">
        <f t="shared" si="2"/>
        <v>24000</v>
      </c>
      <c r="J16" s="8">
        <f t="shared" si="4"/>
        <v>16000</v>
      </c>
      <c r="K16" s="8">
        <v>0</v>
      </c>
    </row>
    <row r="17" spans="1:11">
      <c r="A17" s="7">
        <v>13</v>
      </c>
      <c r="B17" s="7" t="s">
        <v>24</v>
      </c>
      <c r="C17" s="8">
        <v>2</v>
      </c>
      <c r="D17" s="8">
        <v>8</v>
      </c>
      <c r="E17" s="8">
        <f t="shared" si="0"/>
        <v>10</v>
      </c>
      <c r="F17" s="8">
        <v>5</v>
      </c>
      <c r="G17" s="8">
        <f t="shared" si="1"/>
        <v>5</v>
      </c>
      <c r="H17" s="9">
        <v>4000</v>
      </c>
      <c r="I17" s="8">
        <f t="shared" si="2"/>
        <v>20000</v>
      </c>
      <c r="J17" s="8">
        <f t="shared" si="4"/>
        <v>20000</v>
      </c>
      <c r="K17" s="8">
        <v>0</v>
      </c>
    </row>
    <row r="18" spans="1:11">
      <c r="A18" s="7">
        <v>14</v>
      </c>
      <c r="B18" s="7" t="s">
        <v>25</v>
      </c>
      <c r="C18" s="8">
        <v>0</v>
      </c>
      <c r="D18" s="8">
        <v>7</v>
      </c>
      <c r="E18" s="8">
        <f t="shared" si="0"/>
        <v>7</v>
      </c>
      <c r="F18" s="8">
        <v>3</v>
      </c>
      <c r="G18" s="8">
        <f t="shared" si="1"/>
        <v>4</v>
      </c>
      <c r="H18" s="9">
        <v>5000</v>
      </c>
      <c r="I18" s="8">
        <f t="shared" si="2"/>
        <v>15000</v>
      </c>
      <c r="J18" s="8">
        <f t="shared" si="4"/>
        <v>20000</v>
      </c>
      <c r="K18" s="8">
        <v>0</v>
      </c>
    </row>
    <row r="19" spans="1:11">
      <c r="A19" s="7">
        <v>15</v>
      </c>
      <c r="B19" s="7" t="s">
        <v>26</v>
      </c>
      <c r="C19" s="8">
        <v>0</v>
      </c>
      <c r="D19" s="8">
        <v>8</v>
      </c>
      <c r="E19" s="8">
        <f t="shared" si="0"/>
        <v>8</v>
      </c>
      <c r="F19" s="8">
        <v>5</v>
      </c>
      <c r="G19" s="8">
        <f t="shared" si="1"/>
        <v>3</v>
      </c>
      <c r="H19" s="9">
        <v>5000</v>
      </c>
      <c r="I19" s="8">
        <f t="shared" si="2"/>
        <v>25000</v>
      </c>
      <c r="J19" s="8">
        <f t="shared" si="4"/>
        <v>15000</v>
      </c>
      <c r="K19" s="8">
        <v>0</v>
      </c>
    </row>
    <row r="20" spans="1:11">
      <c r="A20" s="7">
        <v>16</v>
      </c>
      <c r="B20" s="7" t="s">
        <v>27</v>
      </c>
      <c r="C20" s="8">
        <v>0</v>
      </c>
      <c r="D20" s="8">
        <v>0</v>
      </c>
      <c r="E20" s="8">
        <f t="shared" si="0"/>
        <v>0</v>
      </c>
      <c r="F20" s="8">
        <v>0</v>
      </c>
      <c r="G20" s="8">
        <f t="shared" si="1"/>
        <v>0</v>
      </c>
      <c r="H20" s="9">
        <v>4000</v>
      </c>
      <c r="I20" s="8">
        <f t="shared" si="2"/>
        <v>0</v>
      </c>
      <c r="J20" s="8">
        <f t="shared" si="4"/>
        <v>0</v>
      </c>
      <c r="K20" s="8">
        <v>0</v>
      </c>
    </row>
    <row r="21" spans="1:11">
      <c r="A21" s="7">
        <v>17</v>
      </c>
      <c r="B21" s="7" t="s">
        <v>28</v>
      </c>
      <c r="C21" s="8">
        <v>2</v>
      </c>
      <c r="D21" s="8">
        <v>2</v>
      </c>
      <c r="E21" s="8">
        <f t="shared" si="0"/>
        <v>4</v>
      </c>
      <c r="F21" s="8">
        <v>2</v>
      </c>
      <c r="G21" s="8">
        <f t="shared" si="1"/>
        <v>2</v>
      </c>
      <c r="H21" s="9">
        <v>8000</v>
      </c>
      <c r="I21" s="8">
        <f t="shared" si="2"/>
        <v>16000</v>
      </c>
      <c r="J21" s="8">
        <f t="shared" si="4"/>
        <v>16000</v>
      </c>
      <c r="K21" s="8">
        <v>0</v>
      </c>
    </row>
    <row r="22" spans="1:11">
      <c r="A22" s="7">
        <v>18</v>
      </c>
      <c r="B22" s="7" t="s">
        <v>29</v>
      </c>
      <c r="C22" s="8">
        <v>1</v>
      </c>
      <c r="D22" s="8">
        <v>2</v>
      </c>
      <c r="E22" s="8">
        <f t="shared" si="0"/>
        <v>3</v>
      </c>
      <c r="F22" s="8">
        <v>3</v>
      </c>
      <c r="G22" s="8">
        <f t="shared" si="1"/>
        <v>0</v>
      </c>
      <c r="H22" s="9">
        <v>8000</v>
      </c>
      <c r="I22" s="8">
        <f t="shared" si="2"/>
        <v>24000</v>
      </c>
      <c r="J22" s="8">
        <f t="shared" si="4"/>
        <v>0</v>
      </c>
      <c r="K22" s="8">
        <v>0</v>
      </c>
    </row>
    <row r="23" spans="1:11">
      <c r="A23" s="7">
        <v>19</v>
      </c>
      <c r="B23" s="7" t="s">
        <v>30</v>
      </c>
      <c r="C23" s="8">
        <v>3</v>
      </c>
      <c r="D23" s="8">
        <v>0</v>
      </c>
      <c r="E23" s="8">
        <f t="shared" si="0"/>
        <v>3</v>
      </c>
      <c r="F23" s="8">
        <v>1</v>
      </c>
      <c r="G23" s="8">
        <f t="shared" si="1"/>
        <v>2</v>
      </c>
      <c r="H23" s="9">
        <v>8000</v>
      </c>
      <c r="I23" s="8">
        <f t="shared" si="2"/>
        <v>8000</v>
      </c>
      <c r="J23" s="8">
        <f t="shared" si="4"/>
        <v>16000</v>
      </c>
      <c r="K23" s="8">
        <v>0</v>
      </c>
    </row>
    <row r="24" spans="1:11">
      <c r="A24" s="7">
        <v>20</v>
      </c>
      <c r="B24" s="7" t="s">
        <v>31</v>
      </c>
      <c r="C24" s="8">
        <v>0</v>
      </c>
      <c r="D24" s="8">
        <v>3</v>
      </c>
      <c r="E24" s="8">
        <f t="shared" si="0"/>
        <v>3</v>
      </c>
      <c r="F24" s="8">
        <v>3</v>
      </c>
      <c r="G24" s="8">
        <f t="shared" si="1"/>
        <v>0</v>
      </c>
      <c r="H24" s="9">
        <v>9000</v>
      </c>
      <c r="I24" s="8">
        <f t="shared" si="2"/>
        <v>27000</v>
      </c>
      <c r="J24" s="8">
        <f t="shared" si="4"/>
        <v>0</v>
      </c>
      <c r="K24" s="8">
        <v>0</v>
      </c>
    </row>
    <row r="25" spans="1:11">
      <c r="A25" s="7">
        <v>21</v>
      </c>
      <c r="B25" s="7" t="s">
        <v>32</v>
      </c>
      <c r="C25" s="8">
        <v>0</v>
      </c>
      <c r="D25" s="8">
        <v>0</v>
      </c>
      <c r="E25" s="8">
        <f t="shared" si="0"/>
        <v>0</v>
      </c>
      <c r="F25" s="8">
        <v>0</v>
      </c>
      <c r="G25" s="8">
        <f t="shared" si="1"/>
        <v>0</v>
      </c>
      <c r="H25" s="9">
        <v>7000</v>
      </c>
      <c r="I25" s="8">
        <f t="shared" si="2"/>
        <v>0</v>
      </c>
      <c r="J25" s="8">
        <f t="shared" si="4"/>
        <v>0</v>
      </c>
      <c r="K25" s="8">
        <v>0</v>
      </c>
    </row>
    <row r="26" spans="1:11">
      <c r="A26" s="7">
        <v>22</v>
      </c>
      <c r="B26" s="7" t="s">
        <v>33</v>
      </c>
      <c r="C26" s="8">
        <v>0</v>
      </c>
      <c r="D26" s="8"/>
      <c r="E26" s="8">
        <f t="shared" si="0"/>
        <v>0</v>
      </c>
      <c r="F26" s="8"/>
      <c r="G26" s="8">
        <f t="shared" si="1"/>
        <v>0</v>
      </c>
      <c r="H26" s="9">
        <v>7000</v>
      </c>
      <c r="I26" s="8">
        <f t="shared" si="2"/>
        <v>0</v>
      </c>
      <c r="J26" s="8">
        <f t="shared" si="4"/>
        <v>0</v>
      </c>
      <c r="K26" s="8">
        <v>0</v>
      </c>
    </row>
    <row r="27" spans="1:11">
      <c r="A27" s="7">
        <v>23</v>
      </c>
      <c r="B27" s="7" t="s">
        <v>34</v>
      </c>
      <c r="C27" s="8">
        <v>1</v>
      </c>
      <c r="D27" s="8">
        <v>3</v>
      </c>
      <c r="E27" s="8">
        <f t="shared" si="0"/>
        <v>4</v>
      </c>
      <c r="F27" s="8">
        <v>2</v>
      </c>
      <c r="G27" s="8">
        <f t="shared" si="1"/>
        <v>2</v>
      </c>
      <c r="H27" s="9">
        <v>8000</v>
      </c>
      <c r="I27" s="8">
        <f t="shared" si="2"/>
        <v>16000</v>
      </c>
      <c r="J27" s="8">
        <f t="shared" si="4"/>
        <v>16000</v>
      </c>
      <c r="K27" s="8">
        <v>0</v>
      </c>
    </row>
    <row r="28" spans="1:11">
      <c r="A28" s="7">
        <v>24</v>
      </c>
      <c r="B28" s="7" t="s">
        <v>35</v>
      </c>
      <c r="C28" s="8">
        <v>3</v>
      </c>
      <c r="D28" s="8">
        <v>0</v>
      </c>
      <c r="E28" s="8">
        <f t="shared" si="0"/>
        <v>3</v>
      </c>
      <c r="F28" s="8">
        <v>1</v>
      </c>
      <c r="G28" s="8">
        <f t="shared" si="1"/>
        <v>2</v>
      </c>
      <c r="H28" s="9">
        <v>5000</v>
      </c>
      <c r="I28" s="8">
        <f t="shared" si="2"/>
        <v>5000</v>
      </c>
      <c r="J28" s="8">
        <f t="shared" si="4"/>
        <v>10000</v>
      </c>
      <c r="K28" s="8">
        <v>0</v>
      </c>
    </row>
    <row r="29" spans="1:11">
      <c r="A29" s="7">
        <v>25</v>
      </c>
      <c r="B29" s="7" t="s">
        <v>36</v>
      </c>
      <c r="C29" s="8">
        <v>0</v>
      </c>
      <c r="D29" s="8"/>
      <c r="E29" s="8">
        <f t="shared" si="0"/>
        <v>0</v>
      </c>
      <c r="F29" s="8"/>
      <c r="G29" s="8">
        <f t="shared" si="1"/>
        <v>0</v>
      </c>
      <c r="H29" s="9">
        <v>5000</v>
      </c>
      <c r="I29" s="8">
        <f t="shared" si="2"/>
        <v>0</v>
      </c>
      <c r="J29" s="8">
        <f t="shared" si="4"/>
        <v>0</v>
      </c>
      <c r="K29" s="8">
        <v>0</v>
      </c>
    </row>
    <row r="30" spans="1:11">
      <c r="A30" s="7">
        <v>26</v>
      </c>
      <c r="B30" s="7" t="s">
        <v>37</v>
      </c>
      <c r="C30" s="8">
        <v>0</v>
      </c>
      <c r="D30" s="8">
        <v>0</v>
      </c>
      <c r="E30" s="8">
        <f t="shared" si="0"/>
        <v>0</v>
      </c>
      <c r="F30" s="8">
        <v>0</v>
      </c>
      <c r="G30" s="8">
        <f t="shared" si="1"/>
        <v>0</v>
      </c>
      <c r="H30" s="9">
        <v>9000</v>
      </c>
      <c r="I30" s="8">
        <f t="shared" si="2"/>
        <v>0</v>
      </c>
      <c r="J30" s="8">
        <f t="shared" si="4"/>
        <v>0</v>
      </c>
      <c r="K30" s="10"/>
    </row>
    <row r="31" spans="1:11">
      <c r="A31" s="7">
        <v>27</v>
      </c>
      <c r="B31" s="7" t="s">
        <v>38</v>
      </c>
      <c r="C31" s="8">
        <v>0</v>
      </c>
      <c r="D31" s="8">
        <v>3</v>
      </c>
      <c r="E31" s="8">
        <f t="shared" si="0"/>
        <v>3</v>
      </c>
      <c r="F31" s="8">
        <v>1</v>
      </c>
      <c r="G31" s="8">
        <f t="shared" si="1"/>
        <v>2</v>
      </c>
      <c r="H31" s="9">
        <v>9000</v>
      </c>
      <c r="I31" s="8">
        <f t="shared" si="2"/>
        <v>9000</v>
      </c>
      <c r="J31" s="8">
        <f t="shared" si="4"/>
        <v>18000</v>
      </c>
      <c r="K31" s="8">
        <v>0</v>
      </c>
    </row>
    <row r="32" spans="1:11">
      <c r="A32" s="7">
        <v>28</v>
      </c>
      <c r="B32" s="7" t="s">
        <v>39</v>
      </c>
      <c r="C32" s="8">
        <v>0</v>
      </c>
      <c r="D32" s="8">
        <v>0</v>
      </c>
      <c r="E32" s="8">
        <f t="shared" si="0"/>
        <v>0</v>
      </c>
      <c r="F32" s="8">
        <v>0</v>
      </c>
      <c r="G32" s="8">
        <f t="shared" si="1"/>
        <v>0</v>
      </c>
      <c r="H32" s="9">
        <v>9000</v>
      </c>
      <c r="I32" s="8">
        <f t="shared" si="2"/>
        <v>0</v>
      </c>
      <c r="J32" s="8">
        <f t="shared" si="4"/>
        <v>0</v>
      </c>
      <c r="K32" s="8">
        <v>0</v>
      </c>
    </row>
    <row r="33" spans="1:11">
      <c r="A33" s="7">
        <v>29</v>
      </c>
      <c r="B33" s="7" t="s">
        <v>40</v>
      </c>
      <c r="C33" s="8">
        <v>3</v>
      </c>
      <c r="D33" s="8">
        <v>0</v>
      </c>
      <c r="E33" s="8">
        <f t="shared" si="0"/>
        <v>3</v>
      </c>
      <c r="F33" s="8">
        <v>3</v>
      </c>
      <c r="G33" s="8">
        <f t="shared" si="1"/>
        <v>0</v>
      </c>
      <c r="H33" s="9">
        <v>9000</v>
      </c>
      <c r="I33" s="8">
        <f t="shared" si="2"/>
        <v>27000</v>
      </c>
      <c r="J33" s="8">
        <f t="shared" si="4"/>
        <v>0</v>
      </c>
      <c r="K33" s="8">
        <v>0</v>
      </c>
    </row>
    <row r="34" spans="1:11">
      <c r="A34" s="7">
        <v>30</v>
      </c>
      <c r="B34" s="7" t="s">
        <v>41</v>
      </c>
      <c r="C34" s="8">
        <v>0</v>
      </c>
      <c r="D34" s="8"/>
      <c r="E34" s="8">
        <f t="shared" si="0"/>
        <v>0</v>
      </c>
      <c r="F34" s="8"/>
      <c r="G34" s="8">
        <f t="shared" si="1"/>
        <v>0</v>
      </c>
      <c r="H34" s="9">
        <v>9000</v>
      </c>
      <c r="I34" s="8">
        <f t="shared" si="2"/>
        <v>0</v>
      </c>
      <c r="J34" s="8">
        <f t="shared" si="4"/>
        <v>0</v>
      </c>
      <c r="K34" s="8">
        <v>0</v>
      </c>
    </row>
    <row r="35" spans="1:11">
      <c r="A35" s="7">
        <v>31</v>
      </c>
      <c r="B35" s="7" t="s">
        <v>42</v>
      </c>
      <c r="C35" s="8">
        <v>0</v>
      </c>
      <c r="D35" s="8">
        <v>4</v>
      </c>
      <c r="E35" s="8">
        <f t="shared" si="0"/>
        <v>4</v>
      </c>
      <c r="F35" s="8">
        <v>2</v>
      </c>
      <c r="G35" s="8">
        <f t="shared" si="1"/>
        <v>2</v>
      </c>
      <c r="H35" s="9">
        <v>9000</v>
      </c>
      <c r="I35" s="8">
        <f t="shared" si="2"/>
        <v>18000</v>
      </c>
      <c r="J35" s="8">
        <f t="shared" si="4"/>
        <v>18000</v>
      </c>
      <c r="K35" s="8">
        <v>0</v>
      </c>
    </row>
    <row r="36" spans="1:11">
      <c r="A36" s="7">
        <v>32</v>
      </c>
      <c r="B36" s="7" t="s">
        <v>43</v>
      </c>
      <c r="C36" s="8">
        <v>2</v>
      </c>
      <c r="D36" s="8">
        <v>6</v>
      </c>
      <c r="E36" s="8">
        <f t="shared" si="0"/>
        <v>8</v>
      </c>
      <c r="F36" s="8">
        <v>8</v>
      </c>
      <c r="G36" s="8">
        <f t="shared" si="1"/>
        <v>0</v>
      </c>
      <c r="H36" s="9">
        <v>3000</v>
      </c>
      <c r="I36" s="8">
        <f t="shared" si="2"/>
        <v>24000</v>
      </c>
      <c r="J36" s="8">
        <f t="shared" si="4"/>
        <v>0</v>
      </c>
      <c r="K36" s="8">
        <v>0</v>
      </c>
    </row>
    <row r="37" spans="1:11">
      <c r="A37" s="7">
        <v>33</v>
      </c>
      <c r="B37" s="7" t="s">
        <v>44</v>
      </c>
      <c r="C37" s="8">
        <v>0</v>
      </c>
      <c r="D37" s="8">
        <v>8</v>
      </c>
      <c r="E37" s="8">
        <f t="shared" si="0"/>
        <v>8</v>
      </c>
      <c r="F37" s="8">
        <v>2</v>
      </c>
      <c r="G37" s="8">
        <f t="shared" si="1"/>
        <v>6</v>
      </c>
      <c r="H37" s="9">
        <v>3000</v>
      </c>
      <c r="I37" s="8">
        <f t="shared" si="2"/>
        <v>6000</v>
      </c>
      <c r="J37" s="8">
        <f t="shared" si="4"/>
        <v>18000</v>
      </c>
      <c r="K37" s="8">
        <v>0</v>
      </c>
    </row>
    <row r="38" spans="1:11">
      <c r="A38" s="7">
        <v>34</v>
      </c>
      <c r="B38" s="7" t="s">
        <v>45</v>
      </c>
      <c r="C38" s="8">
        <v>4</v>
      </c>
      <c r="D38" s="8">
        <v>4</v>
      </c>
      <c r="E38" s="8">
        <f t="shared" si="0"/>
        <v>8</v>
      </c>
      <c r="F38" s="8">
        <v>7</v>
      </c>
      <c r="G38" s="8">
        <f t="shared" si="1"/>
        <v>1</v>
      </c>
      <c r="H38" s="9">
        <v>3000</v>
      </c>
      <c r="I38" s="8">
        <f t="shared" si="2"/>
        <v>21000</v>
      </c>
      <c r="J38" s="8">
        <f t="shared" si="4"/>
        <v>3000</v>
      </c>
      <c r="K38" s="8">
        <v>0</v>
      </c>
    </row>
    <row r="39" spans="1:11">
      <c r="A39" s="7">
        <v>35</v>
      </c>
      <c r="B39" s="7" t="s">
        <v>46</v>
      </c>
      <c r="C39" s="8">
        <v>0</v>
      </c>
      <c r="D39" s="8">
        <v>4</v>
      </c>
      <c r="E39" s="8">
        <f t="shared" si="0"/>
        <v>4</v>
      </c>
      <c r="F39" s="8">
        <v>1</v>
      </c>
      <c r="G39" s="8">
        <f t="shared" si="1"/>
        <v>3</v>
      </c>
      <c r="H39" s="9">
        <v>5000</v>
      </c>
      <c r="I39" s="8">
        <f t="shared" si="2"/>
        <v>5000</v>
      </c>
      <c r="J39" s="8">
        <f t="shared" si="4"/>
        <v>15000</v>
      </c>
      <c r="K39" s="8">
        <v>0</v>
      </c>
    </row>
    <row r="40" spans="1:11">
      <c r="A40" s="7">
        <v>36</v>
      </c>
      <c r="B40" s="7" t="s">
        <v>47</v>
      </c>
      <c r="C40" s="8">
        <v>4</v>
      </c>
      <c r="D40" s="8">
        <v>0</v>
      </c>
      <c r="E40" s="8">
        <f t="shared" si="0"/>
        <v>4</v>
      </c>
      <c r="F40" s="8">
        <v>2</v>
      </c>
      <c r="G40" s="8">
        <f t="shared" si="1"/>
        <v>2</v>
      </c>
      <c r="H40" s="9">
        <v>5000</v>
      </c>
      <c r="I40" s="8">
        <f t="shared" si="2"/>
        <v>10000</v>
      </c>
      <c r="J40" s="8">
        <f t="shared" si="4"/>
        <v>10000</v>
      </c>
      <c r="K40" s="8">
        <v>0</v>
      </c>
    </row>
    <row r="41" spans="1:11">
      <c r="A41" s="7">
        <v>37</v>
      </c>
      <c r="B41" s="7" t="s">
        <v>48</v>
      </c>
      <c r="C41" s="8">
        <v>4</v>
      </c>
      <c r="D41" s="8">
        <v>0</v>
      </c>
      <c r="E41" s="8">
        <f t="shared" si="0"/>
        <v>4</v>
      </c>
      <c r="F41" s="8">
        <v>3</v>
      </c>
      <c r="G41" s="8">
        <f t="shared" si="1"/>
        <v>1</v>
      </c>
      <c r="H41" s="9">
        <v>5000</v>
      </c>
      <c r="I41" s="8">
        <f t="shared" si="2"/>
        <v>15000</v>
      </c>
      <c r="J41" s="8">
        <f t="shared" si="4"/>
        <v>5000</v>
      </c>
      <c r="K41" s="8">
        <v>0</v>
      </c>
    </row>
    <row r="42" spans="1:11">
      <c r="A42" s="11">
        <v>38</v>
      </c>
      <c r="B42" s="7" t="s">
        <v>49</v>
      </c>
      <c r="C42" s="8">
        <v>0</v>
      </c>
      <c r="D42" s="8">
        <v>4</v>
      </c>
      <c r="E42" s="8">
        <f t="shared" si="0"/>
        <v>4</v>
      </c>
      <c r="F42" s="8">
        <v>4</v>
      </c>
      <c r="G42" s="8">
        <f t="shared" si="1"/>
        <v>0</v>
      </c>
      <c r="H42" s="9">
        <v>5000</v>
      </c>
      <c r="I42" s="8">
        <f t="shared" si="2"/>
        <v>20000</v>
      </c>
      <c r="J42" s="8">
        <f t="shared" si="4"/>
        <v>0</v>
      </c>
      <c r="K42" s="10"/>
    </row>
    <row r="43" spans="1:11">
      <c r="A43" s="7">
        <v>39</v>
      </c>
      <c r="B43" s="7" t="s">
        <v>50</v>
      </c>
      <c r="C43" s="8">
        <v>0</v>
      </c>
      <c r="D43" s="8">
        <v>8</v>
      </c>
      <c r="E43" s="8">
        <f t="shared" si="0"/>
        <v>8</v>
      </c>
      <c r="F43" s="8">
        <v>5</v>
      </c>
      <c r="G43" s="8">
        <f t="shared" si="1"/>
        <v>3</v>
      </c>
      <c r="H43" s="12">
        <v>3000</v>
      </c>
      <c r="I43" s="13">
        <f t="shared" si="2"/>
        <v>15000</v>
      </c>
      <c r="J43" s="14">
        <f t="shared" si="4"/>
        <v>9000</v>
      </c>
      <c r="K43" s="13">
        <v>0</v>
      </c>
    </row>
    <row r="44" spans="1:11">
      <c r="A44" s="7">
        <v>40</v>
      </c>
      <c r="B44" s="7" t="s">
        <v>51</v>
      </c>
      <c r="C44" s="8">
        <v>0</v>
      </c>
      <c r="D44" s="8">
        <v>8</v>
      </c>
      <c r="E44" s="8">
        <f t="shared" si="0"/>
        <v>8</v>
      </c>
      <c r="F44" s="8">
        <v>4</v>
      </c>
      <c r="G44" s="8">
        <f t="shared" si="1"/>
        <v>4</v>
      </c>
      <c r="H44" s="9">
        <v>3000</v>
      </c>
      <c r="I44" s="8">
        <f t="shared" si="2"/>
        <v>12000</v>
      </c>
      <c r="J44" s="8">
        <f t="shared" si="4"/>
        <v>12000</v>
      </c>
      <c r="K44" s="8">
        <v>0</v>
      </c>
    </row>
    <row r="45" spans="1:11">
      <c r="A45" s="7">
        <v>41</v>
      </c>
      <c r="B45" s="7" t="s">
        <v>52</v>
      </c>
      <c r="C45" s="8"/>
      <c r="D45" s="8"/>
      <c r="E45" s="8">
        <f t="shared" si="0"/>
        <v>0</v>
      </c>
      <c r="F45" s="8"/>
      <c r="G45" s="8">
        <f t="shared" si="1"/>
        <v>0</v>
      </c>
      <c r="H45" s="9">
        <v>3000</v>
      </c>
      <c r="I45" s="8">
        <f t="shared" si="2"/>
        <v>0</v>
      </c>
      <c r="J45" s="8">
        <f t="shared" si="4"/>
        <v>0</v>
      </c>
      <c r="K45" s="8">
        <v>0</v>
      </c>
    </row>
    <row r="46" spans="1:11">
      <c r="A46" s="7">
        <v>42</v>
      </c>
      <c r="B46" s="7" t="s">
        <v>53</v>
      </c>
      <c r="C46" s="8">
        <v>0</v>
      </c>
      <c r="D46" s="8">
        <v>7</v>
      </c>
      <c r="E46" s="8">
        <f t="shared" si="0"/>
        <v>7</v>
      </c>
      <c r="F46" s="8">
        <v>6</v>
      </c>
      <c r="G46" s="8">
        <f t="shared" si="1"/>
        <v>1</v>
      </c>
      <c r="H46" s="9">
        <v>2000</v>
      </c>
      <c r="I46" s="8">
        <f t="shared" si="2"/>
        <v>12000</v>
      </c>
      <c r="J46" s="8">
        <f t="shared" si="4"/>
        <v>2000</v>
      </c>
      <c r="K46" s="8">
        <f>G46*H46</f>
        <v>2000</v>
      </c>
    </row>
    <row r="47" spans="1:11">
      <c r="A47" s="7">
        <v>43</v>
      </c>
      <c r="B47" s="7" t="s">
        <v>54</v>
      </c>
      <c r="C47" s="8"/>
      <c r="D47" s="8">
        <v>0</v>
      </c>
      <c r="E47" s="8">
        <f t="shared" si="0"/>
        <v>0</v>
      </c>
      <c r="F47" s="8">
        <v>0</v>
      </c>
      <c r="G47" s="8">
        <f t="shared" si="1"/>
        <v>0</v>
      </c>
      <c r="H47" s="9">
        <v>2000</v>
      </c>
      <c r="I47" s="8">
        <f t="shared" si="2"/>
        <v>0</v>
      </c>
      <c r="J47" s="8">
        <f t="shared" si="4"/>
        <v>0</v>
      </c>
      <c r="K47" s="8">
        <f t="shared" ref="K47:K51" si="5">H47*G47</f>
        <v>0</v>
      </c>
    </row>
    <row r="48" spans="1:11">
      <c r="A48" s="7">
        <v>44</v>
      </c>
      <c r="B48" s="7" t="s">
        <v>55</v>
      </c>
      <c r="C48" s="8"/>
      <c r="D48" s="8">
        <v>0</v>
      </c>
      <c r="E48" s="8">
        <f t="shared" si="0"/>
        <v>0</v>
      </c>
      <c r="F48" s="8">
        <v>0</v>
      </c>
      <c r="G48" s="8">
        <f t="shared" si="1"/>
        <v>0</v>
      </c>
      <c r="H48" s="9">
        <v>2000</v>
      </c>
      <c r="I48" s="8">
        <f t="shared" si="2"/>
        <v>0</v>
      </c>
      <c r="J48" s="8">
        <f t="shared" si="4"/>
        <v>0</v>
      </c>
      <c r="K48" s="8">
        <f t="shared" si="5"/>
        <v>0</v>
      </c>
    </row>
    <row r="49" spans="1:11">
      <c r="A49" s="7">
        <v>45</v>
      </c>
      <c r="B49" s="7" t="s">
        <v>55</v>
      </c>
      <c r="C49" s="8"/>
      <c r="D49" s="8"/>
      <c r="E49" s="8">
        <f t="shared" si="0"/>
        <v>0</v>
      </c>
      <c r="F49" s="8"/>
      <c r="G49" s="8">
        <f t="shared" si="1"/>
        <v>0</v>
      </c>
      <c r="H49" s="9">
        <v>3000</v>
      </c>
      <c r="I49" s="8">
        <f t="shared" si="2"/>
        <v>0</v>
      </c>
      <c r="J49" s="8">
        <f t="shared" si="4"/>
        <v>0</v>
      </c>
      <c r="K49" s="8">
        <f t="shared" si="5"/>
        <v>0</v>
      </c>
    </row>
    <row r="50" spans="1:11">
      <c r="A50" s="7">
        <v>46</v>
      </c>
      <c r="B50" s="7" t="s">
        <v>56</v>
      </c>
      <c r="C50" s="8"/>
      <c r="D50" s="8"/>
      <c r="E50" s="8">
        <f t="shared" si="0"/>
        <v>0</v>
      </c>
      <c r="F50" s="8"/>
      <c r="G50" s="8">
        <f t="shared" si="1"/>
        <v>0</v>
      </c>
      <c r="H50" s="9">
        <v>3000</v>
      </c>
      <c r="I50" s="8">
        <f t="shared" si="2"/>
        <v>0</v>
      </c>
      <c r="J50" s="8"/>
      <c r="K50" s="8">
        <f t="shared" si="5"/>
        <v>0</v>
      </c>
    </row>
    <row r="51" spans="1:11">
      <c r="A51" s="7">
        <v>47</v>
      </c>
      <c r="B51" s="7" t="s">
        <v>57</v>
      </c>
      <c r="C51" s="8"/>
      <c r="D51" s="8">
        <v>10</v>
      </c>
      <c r="E51" s="8">
        <f t="shared" si="0"/>
        <v>10</v>
      </c>
      <c r="F51" s="8">
        <v>7</v>
      </c>
      <c r="G51" s="8">
        <f t="shared" si="1"/>
        <v>3</v>
      </c>
      <c r="H51" s="9">
        <v>3000</v>
      </c>
      <c r="I51" s="8">
        <f t="shared" si="2"/>
        <v>21000</v>
      </c>
      <c r="J51" s="15">
        <v>0</v>
      </c>
      <c r="K51" s="8">
        <f t="shared" si="5"/>
        <v>9000</v>
      </c>
    </row>
    <row r="52" spans="1:11">
      <c r="A52" s="7">
        <v>48</v>
      </c>
      <c r="B52" s="7" t="s">
        <v>58</v>
      </c>
      <c r="C52" s="8">
        <v>0</v>
      </c>
      <c r="D52" s="8">
        <v>0</v>
      </c>
      <c r="E52" s="8">
        <f t="shared" si="0"/>
        <v>0</v>
      </c>
      <c r="F52" s="8">
        <v>0</v>
      </c>
      <c r="G52" s="8">
        <f t="shared" si="1"/>
        <v>0</v>
      </c>
      <c r="H52" s="9">
        <v>2000</v>
      </c>
      <c r="I52" s="8">
        <f t="shared" si="2"/>
        <v>0</v>
      </c>
      <c r="J52" s="8">
        <f t="shared" ref="J52:J63" si="6">G52*H52</f>
        <v>0</v>
      </c>
      <c r="K52" s="8">
        <v>0</v>
      </c>
    </row>
    <row r="53" spans="1:11">
      <c r="A53" s="7">
        <v>49</v>
      </c>
      <c r="B53" s="7" t="s">
        <v>59</v>
      </c>
      <c r="C53" s="8">
        <v>0</v>
      </c>
      <c r="D53" s="8">
        <v>0</v>
      </c>
      <c r="E53" s="8">
        <f t="shared" si="0"/>
        <v>0</v>
      </c>
      <c r="F53" s="8">
        <v>0</v>
      </c>
      <c r="G53" s="8">
        <f t="shared" si="1"/>
        <v>0</v>
      </c>
      <c r="H53" s="9">
        <v>2000</v>
      </c>
      <c r="I53" s="8">
        <f t="shared" si="2"/>
        <v>0</v>
      </c>
      <c r="J53" s="8">
        <f t="shared" si="6"/>
        <v>0</v>
      </c>
      <c r="K53" s="8">
        <v>0</v>
      </c>
    </row>
    <row r="54" spans="1:11">
      <c r="A54" s="7">
        <v>50</v>
      </c>
      <c r="B54" s="7" t="s">
        <v>60</v>
      </c>
      <c r="C54" s="8">
        <v>3</v>
      </c>
      <c r="D54" s="8">
        <v>4</v>
      </c>
      <c r="E54" s="8">
        <f t="shared" si="0"/>
        <v>7</v>
      </c>
      <c r="F54" s="8">
        <v>4</v>
      </c>
      <c r="G54" s="8">
        <f t="shared" si="1"/>
        <v>3</v>
      </c>
      <c r="H54" s="9">
        <v>2000</v>
      </c>
      <c r="I54" s="8">
        <f t="shared" si="2"/>
        <v>8000</v>
      </c>
      <c r="J54" s="8">
        <v>0</v>
      </c>
      <c r="K54" s="8">
        <v>0</v>
      </c>
    </row>
    <row r="55" spans="1:11">
      <c r="A55" s="7">
        <v>51</v>
      </c>
      <c r="B55" s="7" t="s">
        <v>61</v>
      </c>
      <c r="C55" s="8">
        <v>3</v>
      </c>
      <c r="D55" s="8">
        <v>4</v>
      </c>
      <c r="E55" s="8">
        <f t="shared" si="0"/>
        <v>7</v>
      </c>
      <c r="F55" s="8">
        <v>6</v>
      </c>
      <c r="G55" s="8">
        <f t="shared" si="1"/>
        <v>1</v>
      </c>
      <c r="H55" s="9">
        <v>5000</v>
      </c>
      <c r="I55" s="8">
        <f t="shared" si="2"/>
        <v>30000</v>
      </c>
      <c r="J55" s="8">
        <f t="shared" si="6"/>
        <v>5000</v>
      </c>
      <c r="K55" s="8">
        <v>0</v>
      </c>
    </row>
    <row r="56" spans="1:11">
      <c r="A56" s="7">
        <v>52</v>
      </c>
      <c r="B56" s="7" t="s">
        <v>62</v>
      </c>
      <c r="C56" s="8"/>
      <c r="D56" s="8"/>
      <c r="E56" s="8">
        <f t="shared" si="0"/>
        <v>0</v>
      </c>
      <c r="F56" s="8"/>
      <c r="G56" s="8">
        <f t="shared" si="1"/>
        <v>0</v>
      </c>
      <c r="H56" s="9">
        <v>5000</v>
      </c>
      <c r="I56" s="8">
        <f t="shared" si="2"/>
        <v>0</v>
      </c>
      <c r="J56" s="8">
        <f t="shared" si="6"/>
        <v>0</v>
      </c>
      <c r="K56" s="8">
        <v>0</v>
      </c>
    </row>
    <row r="57" spans="1:11">
      <c r="A57" s="7">
        <v>53</v>
      </c>
      <c r="B57" s="7" t="s">
        <v>63</v>
      </c>
      <c r="C57" s="8">
        <v>0</v>
      </c>
      <c r="D57" s="8">
        <v>70</v>
      </c>
      <c r="E57" s="8">
        <f t="shared" si="0"/>
        <v>70</v>
      </c>
      <c r="F57" s="8">
        <v>66</v>
      </c>
      <c r="G57" s="8">
        <f t="shared" si="1"/>
        <v>4</v>
      </c>
      <c r="H57" s="9">
        <v>5000</v>
      </c>
      <c r="I57" s="8">
        <f t="shared" si="2"/>
        <v>330000</v>
      </c>
      <c r="J57" s="8">
        <f t="shared" si="6"/>
        <v>20000</v>
      </c>
      <c r="K57" s="8">
        <v>0</v>
      </c>
    </row>
    <row r="58" spans="1:11">
      <c r="A58" s="7">
        <v>54</v>
      </c>
      <c r="B58" s="7" t="s">
        <v>64</v>
      </c>
      <c r="C58" s="8"/>
      <c r="D58" s="8">
        <v>15</v>
      </c>
      <c r="E58" s="8">
        <f t="shared" si="0"/>
        <v>15</v>
      </c>
      <c r="F58" s="8">
        <v>11</v>
      </c>
      <c r="G58" s="8">
        <f t="shared" si="1"/>
        <v>4</v>
      </c>
      <c r="H58" s="8">
        <v>1000</v>
      </c>
      <c r="I58" s="8">
        <f t="shared" si="2"/>
        <v>11000</v>
      </c>
      <c r="J58" s="8">
        <f t="shared" si="6"/>
        <v>4000</v>
      </c>
      <c r="K58" s="8">
        <f>G58*H58</f>
        <v>4000</v>
      </c>
    </row>
    <row r="59" spans="1:11">
      <c r="A59" s="7">
        <v>55</v>
      </c>
      <c r="B59" s="7"/>
      <c r="C59" s="8"/>
      <c r="D59" s="8"/>
      <c r="E59" s="8">
        <f t="shared" si="0"/>
        <v>0</v>
      </c>
      <c r="F59" s="8"/>
      <c r="G59" s="8">
        <f t="shared" si="1"/>
        <v>0</v>
      </c>
      <c r="H59" s="8">
        <v>0</v>
      </c>
      <c r="I59" s="8">
        <f t="shared" si="2"/>
        <v>0</v>
      </c>
      <c r="J59" s="8">
        <f t="shared" si="6"/>
        <v>0</v>
      </c>
      <c r="K59" s="8">
        <v>0</v>
      </c>
    </row>
    <row r="60" spans="1:11">
      <c r="A60" s="7">
        <v>56</v>
      </c>
      <c r="B60" s="11" t="s">
        <v>65</v>
      </c>
      <c r="C60" s="16"/>
      <c r="D60" s="16"/>
      <c r="E60" s="8">
        <f t="shared" si="0"/>
        <v>0</v>
      </c>
      <c r="F60" s="16"/>
      <c r="G60" s="16">
        <f t="shared" si="1"/>
        <v>0</v>
      </c>
      <c r="H60" s="16">
        <v>25000</v>
      </c>
      <c r="I60" s="16">
        <f t="shared" si="2"/>
        <v>0</v>
      </c>
      <c r="J60" s="16">
        <f t="shared" si="6"/>
        <v>0</v>
      </c>
      <c r="K60" s="16">
        <v>0</v>
      </c>
    </row>
    <row r="61" spans="1:11">
      <c r="A61" s="7">
        <v>57</v>
      </c>
      <c r="B61" s="11" t="s">
        <v>66</v>
      </c>
      <c r="C61" s="16"/>
      <c r="D61" s="16"/>
      <c r="E61" s="8">
        <f t="shared" si="0"/>
        <v>0</v>
      </c>
      <c r="F61" s="16"/>
      <c r="G61" s="16">
        <f t="shared" si="1"/>
        <v>0</v>
      </c>
      <c r="H61" s="16">
        <v>15000</v>
      </c>
      <c r="I61" s="16">
        <f t="shared" si="2"/>
        <v>0</v>
      </c>
      <c r="J61" s="16">
        <f t="shared" si="6"/>
        <v>0</v>
      </c>
      <c r="K61" s="16">
        <v>0</v>
      </c>
    </row>
    <row r="62" spans="1:11">
      <c r="A62" s="7">
        <v>58</v>
      </c>
      <c r="B62" s="11" t="s">
        <v>67</v>
      </c>
      <c r="C62" s="16"/>
      <c r="D62" s="16"/>
      <c r="E62" s="8">
        <f t="shared" si="0"/>
        <v>0</v>
      </c>
      <c r="F62" s="16">
        <v>0</v>
      </c>
      <c r="G62" s="16">
        <f t="shared" si="1"/>
        <v>0</v>
      </c>
      <c r="H62" s="16">
        <v>20000</v>
      </c>
      <c r="I62" s="16">
        <f t="shared" si="2"/>
        <v>0</v>
      </c>
      <c r="J62" s="16">
        <f t="shared" si="6"/>
        <v>0</v>
      </c>
      <c r="K62" s="16">
        <v>0</v>
      </c>
    </row>
    <row r="63" spans="1:11">
      <c r="A63" s="7">
        <v>59</v>
      </c>
      <c r="B63" s="7"/>
      <c r="C63" s="8"/>
      <c r="D63" s="8"/>
      <c r="E63" s="8"/>
      <c r="F63" s="8"/>
      <c r="G63" s="8"/>
      <c r="H63" s="8">
        <v>0</v>
      </c>
      <c r="I63" s="8">
        <f t="shared" si="2"/>
        <v>0</v>
      </c>
      <c r="J63" s="8">
        <f t="shared" si="6"/>
        <v>0</v>
      </c>
      <c r="K63" s="8">
        <v>0</v>
      </c>
    </row>
    <row r="64" spans="1:11">
      <c r="A64" s="7">
        <v>60</v>
      </c>
      <c r="B64" s="7"/>
      <c r="C64" s="8"/>
      <c r="D64" s="8"/>
      <c r="E64" s="8"/>
      <c r="F64" s="8"/>
      <c r="G64" s="8"/>
      <c r="H64" s="8"/>
      <c r="I64" s="8"/>
      <c r="J64" s="8"/>
      <c r="K64" s="8"/>
    </row>
    <row r="65" spans="1:11">
      <c r="A65" s="7">
        <v>61</v>
      </c>
      <c r="B65" s="7"/>
      <c r="C65" s="8"/>
      <c r="D65" s="8"/>
      <c r="E65" s="8"/>
      <c r="F65" s="8"/>
      <c r="G65" s="8"/>
      <c r="H65" s="8"/>
      <c r="I65" s="8"/>
      <c r="J65" s="8"/>
      <c r="K65" s="8"/>
    </row>
    <row r="66" spans="1:11">
      <c r="A66" s="7">
        <v>62</v>
      </c>
      <c r="B66" s="7"/>
      <c r="C66" s="8"/>
      <c r="D66" s="8"/>
      <c r="E66" s="8"/>
      <c r="F66" s="8"/>
      <c r="G66" s="8"/>
      <c r="H66" s="8"/>
      <c r="I66" s="8"/>
      <c r="J66" s="8"/>
      <c r="K66" s="8"/>
    </row>
    <row r="67" spans="1:11">
      <c r="A67" s="7">
        <v>63</v>
      </c>
      <c r="B67" s="7"/>
      <c r="C67" s="8"/>
      <c r="D67" s="8"/>
      <c r="E67" s="8"/>
      <c r="F67" s="8"/>
      <c r="G67" s="8"/>
      <c r="H67" s="8"/>
      <c r="I67" s="8"/>
      <c r="J67" s="8"/>
      <c r="K67" s="8"/>
    </row>
    <row r="68" spans="1:11">
      <c r="A68" s="7">
        <v>64</v>
      </c>
      <c r="B68" s="7"/>
      <c r="C68" s="8"/>
      <c r="D68" s="8"/>
      <c r="E68" s="8"/>
      <c r="F68" s="8"/>
      <c r="G68" s="8"/>
      <c r="H68" s="8"/>
      <c r="I68" s="8"/>
      <c r="J68" s="8"/>
      <c r="K68" s="8"/>
    </row>
    <row r="69" spans="1:11">
      <c r="A69" s="7">
        <v>65</v>
      </c>
      <c r="B69" s="7"/>
      <c r="C69" s="8"/>
      <c r="D69" s="8"/>
      <c r="E69" s="8"/>
      <c r="F69" s="8"/>
      <c r="G69" s="8"/>
      <c r="H69" s="8">
        <v>0</v>
      </c>
      <c r="I69" s="8">
        <f>H69*F69</f>
        <v>0</v>
      </c>
      <c r="J69" s="8">
        <f>G69*H69</f>
        <v>0</v>
      </c>
      <c r="K69" s="8">
        <v>0</v>
      </c>
    </row>
    <row r="70" spans="1:11">
      <c r="A70" s="17" t="s">
        <v>68</v>
      </c>
      <c r="B70" s="17"/>
      <c r="C70" s="17"/>
      <c r="D70" s="17"/>
      <c r="E70" s="17"/>
      <c r="F70" s="17"/>
      <c r="G70" s="17"/>
      <c r="H70" s="11"/>
      <c r="I70" s="18">
        <f>SUM(I4:I69)</f>
        <v>902000</v>
      </c>
      <c r="J70" s="18">
        <f>SUM(J9:J69)</f>
        <v>268000</v>
      </c>
      <c r="K70" s="18">
        <f>SUM(K4:K69)</f>
        <v>17000</v>
      </c>
    </row>
    <row r="71" ht="15.3" spans="1:1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>
      <c r="A72" s="20" t="s">
        <v>69</v>
      </c>
      <c r="B72" s="20"/>
      <c r="C72" s="20"/>
      <c r="D72" s="20"/>
      <c r="E72" s="20"/>
      <c r="F72" s="20"/>
      <c r="G72" s="20"/>
      <c r="H72" s="20"/>
      <c r="I72" s="21">
        <v>652000</v>
      </c>
      <c r="J72" s="22" t="s">
        <v>70</v>
      </c>
      <c r="K72" s="23"/>
    </row>
    <row r="73" spans="1:11">
      <c r="A73" s="20" t="s">
        <v>71</v>
      </c>
      <c r="B73" s="20"/>
      <c r="C73" s="20"/>
      <c r="D73" s="20"/>
      <c r="E73" s="20"/>
      <c r="F73" s="20"/>
      <c r="G73" s="20"/>
      <c r="H73" s="20"/>
      <c r="I73" s="21">
        <f>I70-I72</f>
        <v>250000</v>
      </c>
      <c r="J73" s="24"/>
      <c r="K73" s="25"/>
    </row>
    <row r="74" ht="15.3" spans="1:11">
      <c r="A74" s="20" t="s">
        <v>72</v>
      </c>
      <c r="B74" s="20"/>
      <c r="C74" s="20"/>
      <c r="D74" s="20"/>
      <c r="E74" s="20"/>
      <c r="F74" s="20"/>
      <c r="G74" s="20"/>
      <c r="H74" s="20"/>
      <c r="I74" s="21">
        <f>SUM(I72:I73)</f>
        <v>902000</v>
      </c>
      <c r="J74" s="26"/>
      <c r="K74" s="27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 t="s">
        <v>73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 t="s">
        <v>74</v>
      </c>
      <c r="B78" s="3" t="s">
        <v>75</v>
      </c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 t="s">
        <v>76</v>
      </c>
      <c r="D80" s="3"/>
      <c r="E80" s="3"/>
      <c r="F80" s="3"/>
      <c r="G80" s="3"/>
      <c r="H80" s="3"/>
      <c r="I80" s="3"/>
      <c r="J80" s="3"/>
      <c r="K80" s="3"/>
    </row>
    <row r="81" ht="32.15" spans="1:11">
      <c r="A81" s="28" t="s">
        <v>1</v>
      </c>
      <c r="B81" s="28" t="s">
        <v>2</v>
      </c>
      <c r="C81" s="29" t="s">
        <v>3</v>
      </c>
      <c r="D81" s="6" t="s">
        <v>4</v>
      </c>
      <c r="E81" s="6" t="s">
        <v>5</v>
      </c>
      <c r="F81" s="6" t="s">
        <v>6</v>
      </c>
      <c r="G81" s="6" t="s">
        <v>7</v>
      </c>
      <c r="H81" s="30" t="s">
        <v>8</v>
      </c>
      <c r="I81" s="6" t="s">
        <v>9</v>
      </c>
      <c r="J81" s="6" t="s">
        <v>10</v>
      </c>
      <c r="K81" s="6" t="s">
        <v>11</v>
      </c>
    </row>
    <row r="82" spans="1:11">
      <c r="A82" s="7">
        <v>1</v>
      </c>
      <c r="B82" s="31" t="s">
        <v>12</v>
      </c>
      <c r="C82" s="8">
        <v>0</v>
      </c>
      <c r="D82" s="8"/>
      <c r="E82" s="8">
        <f t="shared" ref="E82:E139" si="7">C82+D82</f>
        <v>0</v>
      </c>
      <c r="F82" s="8"/>
      <c r="G82" s="8">
        <f t="shared" ref="G82:G139" si="8">E82-F82</f>
        <v>0</v>
      </c>
      <c r="H82" s="9">
        <v>2000</v>
      </c>
      <c r="I82" s="8">
        <f t="shared" ref="I82:I140" si="9">H82*F82</f>
        <v>0</v>
      </c>
      <c r="J82" s="8">
        <v>0</v>
      </c>
      <c r="K82" s="10">
        <f t="shared" ref="K82:K91" si="10">G82*H82</f>
        <v>0</v>
      </c>
    </row>
    <row r="83" spans="1:11">
      <c r="A83" s="7">
        <v>2</v>
      </c>
      <c r="B83" s="31" t="s">
        <v>13</v>
      </c>
      <c r="C83" s="8">
        <v>0</v>
      </c>
      <c r="D83" s="8"/>
      <c r="E83" s="8">
        <f t="shared" si="7"/>
        <v>0</v>
      </c>
      <c r="F83" s="8"/>
      <c r="G83" s="8">
        <f t="shared" si="8"/>
        <v>0</v>
      </c>
      <c r="H83" s="9">
        <v>2000</v>
      </c>
      <c r="I83" s="8">
        <f>F83*H83</f>
        <v>0</v>
      </c>
      <c r="J83" s="8">
        <v>0</v>
      </c>
      <c r="K83" s="10">
        <f t="shared" si="10"/>
        <v>0</v>
      </c>
    </row>
    <row r="84" spans="1:11">
      <c r="A84" s="7">
        <v>3</v>
      </c>
      <c r="B84" s="31" t="s">
        <v>14</v>
      </c>
      <c r="C84" s="8">
        <v>0</v>
      </c>
      <c r="D84" s="8"/>
      <c r="E84" s="8">
        <f t="shared" si="7"/>
        <v>0</v>
      </c>
      <c r="F84" s="8"/>
      <c r="G84" s="8">
        <f t="shared" si="8"/>
        <v>0</v>
      </c>
      <c r="H84" s="9">
        <v>2000</v>
      </c>
      <c r="I84" s="8">
        <f t="shared" si="9"/>
        <v>0</v>
      </c>
      <c r="J84" s="8">
        <v>0</v>
      </c>
      <c r="K84" s="10">
        <f t="shared" si="10"/>
        <v>0</v>
      </c>
    </row>
    <row r="85" spans="1:11">
      <c r="A85" s="7">
        <v>4</v>
      </c>
      <c r="B85" s="31" t="s">
        <v>15</v>
      </c>
      <c r="C85" s="8">
        <v>0</v>
      </c>
      <c r="D85" s="8"/>
      <c r="E85" s="8">
        <f t="shared" si="7"/>
        <v>0</v>
      </c>
      <c r="F85" s="8"/>
      <c r="G85" s="8">
        <f t="shared" si="8"/>
        <v>0</v>
      </c>
      <c r="H85" s="9">
        <v>2000</v>
      </c>
      <c r="I85" s="8">
        <f t="shared" si="9"/>
        <v>0</v>
      </c>
      <c r="J85" s="8">
        <v>0</v>
      </c>
      <c r="K85" s="10">
        <f t="shared" si="10"/>
        <v>0</v>
      </c>
    </row>
    <row r="86" spans="1:11">
      <c r="A86" s="7">
        <v>5</v>
      </c>
      <c r="B86" s="31" t="s">
        <v>16</v>
      </c>
      <c r="C86" s="8">
        <v>0</v>
      </c>
      <c r="D86" s="8"/>
      <c r="E86" s="8">
        <f t="shared" si="7"/>
        <v>0</v>
      </c>
      <c r="F86" s="8"/>
      <c r="G86" s="8">
        <f t="shared" si="8"/>
        <v>0</v>
      </c>
      <c r="H86" s="9">
        <v>2000</v>
      </c>
      <c r="I86" s="8">
        <f t="shared" si="9"/>
        <v>0</v>
      </c>
      <c r="J86" s="8">
        <v>0</v>
      </c>
      <c r="K86" s="10">
        <f t="shared" si="10"/>
        <v>0</v>
      </c>
    </row>
    <row r="87" spans="1:11">
      <c r="A87" s="7">
        <v>6</v>
      </c>
      <c r="B87" s="31" t="s">
        <v>17</v>
      </c>
      <c r="C87" s="8">
        <v>0</v>
      </c>
      <c r="D87" s="8"/>
      <c r="E87" s="8">
        <f t="shared" si="7"/>
        <v>0</v>
      </c>
      <c r="F87" s="8"/>
      <c r="G87" s="8">
        <f t="shared" si="8"/>
        <v>0</v>
      </c>
      <c r="H87" s="9">
        <v>2000</v>
      </c>
      <c r="I87" s="8">
        <f t="shared" si="9"/>
        <v>0</v>
      </c>
      <c r="J87" s="8">
        <v>0</v>
      </c>
      <c r="K87" s="10">
        <f t="shared" si="10"/>
        <v>0</v>
      </c>
    </row>
    <row r="88" spans="1:11">
      <c r="A88" s="7">
        <v>7</v>
      </c>
      <c r="B88" s="31" t="s">
        <v>18</v>
      </c>
      <c r="C88" s="8">
        <v>0</v>
      </c>
      <c r="D88" s="8"/>
      <c r="E88" s="8">
        <f t="shared" si="7"/>
        <v>0</v>
      </c>
      <c r="F88" s="8"/>
      <c r="G88" s="8">
        <f t="shared" si="8"/>
        <v>0</v>
      </c>
      <c r="H88" s="9">
        <v>3000</v>
      </c>
      <c r="I88" s="8">
        <f t="shared" si="9"/>
        <v>0</v>
      </c>
      <c r="J88" s="8">
        <v>0</v>
      </c>
      <c r="K88" s="10">
        <f t="shared" si="10"/>
        <v>0</v>
      </c>
    </row>
    <row r="89" spans="1:11">
      <c r="A89" s="7">
        <v>8</v>
      </c>
      <c r="B89" s="31" t="s">
        <v>19</v>
      </c>
      <c r="C89" s="8">
        <v>0</v>
      </c>
      <c r="D89" s="8"/>
      <c r="E89" s="8">
        <f t="shared" si="7"/>
        <v>0</v>
      </c>
      <c r="F89" s="8"/>
      <c r="G89" s="8">
        <f t="shared" si="8"/>
        <v>0</v>
      </c>
      <c r="H89" s="9">
        <v>3000</v>
      </c>
      <c r="I89" s="8">
        <f t="shared" si="9"/>
        <v>0</v>
      </c>
      <c r="J89" s="8">
        <v>0</v>
      </c>
      <c r="K89" s="10">
        <f t="shared" si="10"/>
        <v>0</v>
      </c>
    </row>
    <row r="90" spans="1:11">
      <c r="A90" s="7">
        <v>9</v>
      </c>
      <c r="B90" s="31" t="s">
        <v>20</v>
      </c>
      <c r="C90" s="8">
        <v>0</v>
      </c>
      <c r="D90" s="8"/>
      <c r="E90" s="8">
        <f t="shared" si="7"/>
        <v>0</v>
      </c>
      <c r="F90" s="8"/>
      <c r="G90" s="8">
        <f t="shared" si="8"/>
        <v>0</v>
      </c>
      <c r="H90" s="9">
        <v>3000</v>
      </c>
      <c r="I90" s="8">
        <f t="shared" si="9"/>
        <v>0</v>
      </c>
      <c r="J90" s="8">
        <v>0</v>
      </c>
      <c r="K90" s="10">
        <f t="shared" si="10"/>
        <v>0</v>
      </c>
    </row>
    <row r="91" spans="1:11">
      <c r="A91" s="7">
        <v>10</v>
      </c>
      <c r="B91" s="31" t="s">
        <v>21</v>
      </c>
      <c r="C91" s="8">
        <f t="shared" ref="C91:C122" si="11">G14</f>
        <v>0</v>
      </c>
      <c r="D91" s="8"/>
      <c r="E91" s="8">
        <f t="shared" si="7"/>
        <v>0</v>
      </c>
      <c r="F91" s="8"/>
      <c r="G91" s="8">
        <f t="shared" si="8"/>
        <v>0</v>
      </c>
      <c r="H91" s="9">
        <v>3000</v>
      </c>
      <c r="I91" s="8">
        <f t="shared" si="9"/>
        <v>0</v>
      </c>
      <c r="J91" s="8">
        <v>0</v>
      </c>
      <c r="K91" s="8">
        <f t="shared" si="10"/>
        <v>0</v>
      </c>
    </row>
    <row r="92" spans="1:11">
      <c r="A92" s="7">
        <v>11</v>
      </c>
      <c r="B92" s="7" t="s">
        <v>22</v>
      </c>
      <c r="C92" s="8">
        <f t="shared" si="11"/>
        <v>0</v>
      </c>
      <c r="D92" s="8"/>
      <c r="E92" s="8">
        <f t="shared" si="7"/>
        <v>0</v>
      </c>
      <c r="F92" s="8"/>
      <c r="G92" s="8">
        <f t="shared" si="8"/>
        <v>0</v>
      </c>
      <c r="H92" s="9">
        <v>4000</v>
      </c>
      <c r="I92" s="8">
        <f t="shared" si="9"/>
        <v>0</v>
      </c>
      <c r="J92" s="8">
        <f t="shared" ref="J92:J121" si="12">G92*H92</f>
        <v>0</v>
      </c>
      <c r="K92" s="8">
        <v>0</v>
      </c>
    </row>
    <row r="93" spans="1:11">
      <c r="A93" s="7">
        <v>12</v>
      </c>
      <c r="B93" s="7" t="s">
        <v>23</v>
      </c>
      <c r="C93" s="8">
        <f t="shared" si="11"/>
        <v>4</v>
      </c>
      <c r="D93" s="8"/>
      <c r="E93" s="8">
        <f t="shared" si="7"/>
        <v>4</v>
      </c>
      <c r="F93" s="8"/>
      <c r="G93" s="8">
        <f t="shared" si="8"/>
        <v>4</v>
      </c>
      <c r="H93" s="9">
        <v>4000</v>
      </c>
      <c r="I93" s="8">
        <f t="shared" si="9"/>
        <v>0</v>
      </c>
      <c r="J93" s="8">
        <f t="shared" si="12"/>
        <v>16000</v>
      </c>
      <c r="K93" s="8">
        <v>0</v>
      </c>
    </row>
    <row r="94" spans="1:11">
      <c r="A94" s="7">
        <v>13</v>
      </c>
      <c r="B94" s="7" t="s">
        <v>24</v>
      </c>
      <c r="C94" s="8">
        <f t="shared" si="11"/>
        <v>5</v>
      </c>
      <c r="D94" s="8"/>
      <c r="E94" s="8">
        <f t="shared" si="7"/>
        <v>5</v>
      </c>
      <c r="F94" s="8"/>
      <c r="G94" s="8">
        <f t="shared" si="8"/>
        <v>5</v>
      </c>
      <c r="H94" s="9">
        <v>4000</v>
      </c>
      <c r="I94" s="8">
        <f t="shared" si="9"/>
        <v>0</v>
      </c>
      <c r="J94" s="8">
        <f t="shared" si="12"/>
        <v>20000</v>
      </c>
      <c r="K94" s="8">
        <v>0</v>
      </c>
    </row>
    <row r="95" spans="1:11">
      <c r="A95" s="7">
        <v>14</v>
      </c>
      <c r="B95" s="7" t="s">
        <v>25</v>
      </c>
      <c r="C95" s="8">
        <f t="shared" si="11"/>
        <v>4</v>
      </c>
      <c r="D95" s="8"/>
      <c r="E95" s="8">
        <f t="shared" si="7"/>
        <v>4</v>
      </c>
      <c r="F95" s="8"/>
      <c r="G95" s="8">
        <f t="shared" si="8"/>
        <v>4</v>
      </c>
      <c r="H95" s="9">
        <v>5000</v>
      </c>
      <c r="I95" s="8">
        <f t="shared" si="9"/>
        <v>0</v>
      </c>
      <c r="J95" s="8">
        <f t="shared" si="12"/>
        <v>20000</v>
      </c>
      <c r="K95" s="8">
        <v>0</v>
      </c>
    </row>
    <row r="96" spans="1:11">
      <c r="A96" s="7">
        <v>15</v>
      </c>
      <c r="B96" s="7" t="s">
        <v>26</v>
      </c>
      <c r="C96" s="8">
        <f t="shared" si="11"/>
        <v>3</v>
      </c>
      <c r="D96" s="8"/>
      <c r="E96" s="8">
        <f t="shared" si="7"/>
        <v>3</v>
      </c>
      <c r="F96" s="8"/>
      <c r="G96" s="8">
        <f t="shared" si="8"/>
        <v>3</v>
      </c>
      <c r="H96" s="9">
        <v>5000</v>
      </c>
      <c r="I96" s="8">
        <f t="shared" si="9"/>
        <v>0</v>
      </c>
      <c r="J96" s="8">
        <f t="shared" si="12"/>
        <v>15000</v>
      </c>
      <c r="K96" s="8">
        <v>0</v>
      </c>
    </row>
    <row r="97" spans="1:11">
      <c r="A97" s="7">
        <v>16</v>
      </c>
      <c r="B97" s="7" t="s">
        <v>27</v>
      </c>
      <c r="C97" s="8">
        <f t="shared" si="11"/>
        <v>0</v>
      </c>
      <c r="D97" s="8"/>
      <c r="E97" s="8">
        <f t="shared" si="7"/>
        <v>0</v>
      </c>
      <c r="F97" s="8"/>
      <c r="G97" s="8">
        <f t="shared" si="8"/>
        <v>0</v>
      </c>
      <c r="H97" s="9">
        <v>4000</v>
      </c>
      <c r="I97" s="8">
        <f t="shared" si="9"/>
        <v>0</v>
      </c>
      <c r="J97" s="8">
        <f t="shared" si="12"/>
        <v>0</v>
      </c>
      <c r="K97" s="8">
        <v>0</v>
      </c>
    </row>
    <row r="98" spans="1:11">
      <c r="A98" s="7">
        <v>17</v>
      </c>
      <c r="B98" s="7" t="s">
        <v>28</v>
      </c>
      <c r="C98" s="8">
        <f t="shared" si="11"/>
        <v>2</v>
      </c>
      <c r="D98" s="8"/>
      <c r="E98" s="8">
        <f t="shared" si="7"/>
        <v>2</v>
      </c>
      <c r="F98" s="8"/>
      <c r="G98" s="8">
        <f t="shared" si="8"/>
        <v>2</v>
      </c>
      <c r="H98" s="9">
        <v>8000</v>
      </c>
      <c r="I98" s="8">
        <f t="shared" si="9"/>
        <v>0</v>
      </c>
      <c r="J98" s="8">
        <f t="shared" si="12"/>
        <v>16000</v>
      </c>
      <c r="K98" s="8">
        <v>0</v>
      </c>
    </row>
    <row r="99" spans="1:11">
      <c r="A99" s="7">
        <v>18</v>
      </c>
      <c r="B99" s="7" t="s">
        <v>29</v>
      </c>
      <c r="C99" s="8">
        <f t="shared" si="11"/>
        <v>0</v>
      </c>
      <c r="D99" s="8"/>
      <c r="E99" s="8">
        <f t="shared" si="7"/>
        <v>0</v>
      </c>
      <c r="F99" s="8"/>
      <c r="G99" s="8">
        <f t="shared" si="8"/>
        <v>0</v>
      </c>
      <c r="H99" s="9">
        <v>8000</v>
      </c>
      <c r="I99" s="8">
        <f t="shared" si="9"/>
        <v>0</v>
      </c>
      <c r="J99" s="8">
        <f t="shared" si="12"/>
        <v>0</v>
      </c>
      <c r="K99" s="8">
        <v>0</v>
      </c>
    </row>
    <row r="100" spans="1:11">
      <c r="A100" s="7">
        <v>19</v>
      </c>
      <c r="B100" s="7" t="s">
        <v>30</v>
      </c>
      <c r="C100" s="8">
        <f t="shared" si="11"/>
        <v>2</v>
      </c>
      <c r="D100" s="8"/>
      <c r="E100" s="8">
        <f t="shared" si="7"/>
        <v>2</v>
      </c>
      <c r="F100" s="8"/>
      <c r="G100" s="8">
        <f t="shared" si="8"/>
        <v>2</v>
      </c>
      <c r="H100" s="9">
        <v>8000</v>
      </c>
      <c r="I100" s="8">
        <f t="shared" si="9"/>
        <v>0</v>
      </c>
      <c r="J100" s="8">
        <f t="shared" si="12"/>
        <v>16000</v>
      </c>
      <c r="K100" s="8">
        <v>0</v>
      </c>
    </row>
    <row r="101" spans="1:11">
      <c r="A101" s="7">
        <v>20</v>
      </c>
      <c r="B101" s="7" t="s">
        <v>31</v>
      </c>
      <c r="C101" s="8">
        <f t="shared" si="11"/>
        <v>0</v>
      </c>
      <c r="D101" s="8"/>
      <c r="E101" s="8">
        <f t="shared" si="7"/>
        <v>0</v>
      </c>
      <c r="F101" s="8"/>
      <c r="G101" s="8">
        <f t="shared" si="8"/>
        <v>0</v>
      </c>
      <c r="H101" s="9">
        <v>9000</v>
      </c>
      <c r="I101" s="8">
        <f t="shared" si="9"/>
        <v>0</v>
      </c>
      <c r="J101" s="8">
        <f t="shared" si="12"/>
        <v>0</v>
      </c>
      <c r="K101" s="8">
        <v>0</v>
      </c>
    </row>
    <row r="102" spans="1:11">
      <c r="A102" s="7">
        <v>21</v>
      </c>
      <c r="B102" s="7" t="s">
        <v>32</v>
      </c>
      <c r="C102" s="8">
        <f t="shared" si="11"/>
        <v>0</v>
      </c>
      <c r="D102" s="8"/>
      <c r="E102" s="8">
        <f t="shared" si="7"/>
        <v>0</v>
      </c>
      <c r="F102" s="8"/>
      <c r="G102" s="8">
        <f t="shared" si="8"/>
        <v>0</v>
      </c>
      <c r="H102" s="9">
        <v>7000</v>
      </c>
      <c r="I102" s="8">
        <f t="shared" si="9"/>
        <v>0</v>
      </c>
      <c r="J102" s="8">
        <f t="shared" si="12"/>
        <v>0</v>
      </c>
      <c r="K102" s="8">
        <v>0</v>
      </c>
    </row>
    <row r="103" spans="1:11">
      <c r="A103" s="7">
        <v>22</v>
      </c>
      <c r="B103" s="7" t="s">
        <v>33</v>
      </c>
      <c r="C103" s="8">
        <f t="shared" si="11"/>
        <v>0</v>
      </c>
      <c r="D103" s="8"/>
      <c r="E103" s="8">
        <f t="shared" si="7"/>
        <v>0</v>
      </c>
      <c r="F103" s="8"/>
      <c r="G103" s="8">
        <f t="shared" si="8"/>
        <v>0</v>
      </c>
      <c r="H103" s="9">
        <v>7000</v>
      </c>
      <c r="I103" s="8">
        <f t="shared" si="9"/>
        <v>0</v>
      </c>
      <c r="J103" s="8">
        <f t="shared" si="12"/>
        <v>0</v>
      </c>
      <c r="K103" s="8">
        <v>0</v>
      </c>
    </row>
    <row r="104" spans="1:11">
      <c r="A104" s="7">
        <v>23</v>
      </c>
      <c r="B104" s="7" t="s">
        <v>34</v>
      </c>
      <c r="C104" s="8">
        <f t="shared" si="11"/>
        <v>2</v>
      </c>
      <c r="D104" s="8"/>
      <c r="E104" s="8">
        <f t="shared" si="7"/>
        <v>2</v>
      </c>
      <c r="F104" s="8"/>
      <c r="G104" s="8">
        <f t="shared" si="8"/>
        <v>2</v>
      </c>
      <c r="H104" s="9">
        <v>8000</v>
      </c>
      <c r="I104" s="8">
        <f t="shared" si="9"/>
        <v>0</v>
      </c>
      <c r="J104" s="8">
        <f t="shared" si="12"/>
        <v>16000</v>
      </c>
      <c r="K104" s="8">
        <v>0</v>
      </c>
    </row>
    <row r="105" spans="1:11">
      <c r="A105" s="7">
        <v>24</v>
      </c>
      <c r="B105" s="7" t="s">
        <v>35</v>
      </c>
      <c r="C105" s="8">
        <f t="shared" si="11"/>
        <v>2</v>
      </c>
      <c r="D105" s="8"/>
      <c r="E105" s="8">
        <f t="shared" si="7"/>
        <v>2</v>
      </c>
      <c r="F105" s="8"/>
      <c r="G105" s="8">
        <f t="shared" si="8"/>
        <v>2</v>
      </c>
      <c r="H105" s="9">
        <v>5000</v>
      </c>
      <c r="I105" s="8">
        <f t="shared" si="9"/>
        <v>0</v>
      </c>
      <c r="J105" s="8">
        <f t="shared" si="12"/>
        <v>10000</v>
      </c>
      <c r="K105" s="8">
        <v>0</v>
      </c>
    </row>
    <row r="106" spans="1:11">
      <c r="A106" s="7">
        <v>25</v>
      </c>
      <c r="B106" s="7" t="s">
        <v>36</v>
      </c>
      <c r="C106" s="8">
        <f t="shared" si="11"/>
        <v>0</v>
      </c>
      <c r="D106" s="8"/>
      <c r="E106" s="8">
        <f t="shared" si="7"/>
        <v>0</v>
      </c>
      <c r="F106" s="8"/>
      <c r="G106" s="8">
        <f t="shared" si="8"/>
        <v>0</v>
      </c>
      <c r="H106" s="9">
        <v>5000</v>
      </c>
      <c r="I106" s="8">
        <f t="shared" si="9"/>
        <v>0</v>
      </c>
      <c r="J106" s="8">
        <f t="shared" si="12"/>
        <v>0</v>
      </c>
      <c r="K106" s="8">
        <v>0</v>
      </c>
    </row>
    <row r="107" spans="1:11">
      <c r="A107" s="7">
        <v>26</v>
      </c>
      <c r="B107" s="7" t="s">
        <v>37</v>
      </c>
      <c r="C107" s="8">
        <f t="shared" si="11"/>
        <v>0</v>
      </c>
      <c r="D107" s="8"/>
      <c r="E107" s="8">
        <f t="shared" si="7"/>
        <v>0</v>
      </c>
      <c r="F107" s="8"/>
      <c r="G107" s="8">
        <f t="shared" si="8"/>
        <v>0</v>
      </c>
      <c r="H107" s="9">
        <v>9000</v>
      </c>
      <c r="I107" s="8">
        <f t="shared" si="9"/>
        <v>0</v>
      </c>
      <c r="J107" s="8">
        <f t="shared" si="12"/>
        <v>0</v>
      </c>
      <c r="K107" s="10"/>
    </row>
    <row r="108" spans="1:11">
      <c r="A108" s="7">
        <v>27</v>
      </c>
      <c r="B108" s="7" t="s">
        <v>38</v>
      </c>
      <c r="C108" s="8">
        <f t="shared" si="11"/>
        <v>2</v>
      </c>
      <c r="D108" s="8"/>
      <c r="E108" s="8">
        <f t="shared" si="7"/>
        <v>2</v>
      </c>
      <c r="F108" s="8"/>
      <c r="G108" s="8">
        <f t="shared" si="8"/>
        <v>2</v>
      </c>
      <c r="H108" s="9">
        <v>9000</v>
      </c>
      <c r="I108" s="8">
        <f t="shared" si="9"/>
        <v>0</v>
      </c>
      <c r="J108" s="8">
        <f t="shared" si="12"/>
        <v>18000</v>
      </c>
      <c r="K108" s="8">
        <v>0</v>
      </c>
    </row>
    <row r="109" spans="1:11">
      <c r="A109" s="7">
        <v>28</v>
      </c>
      <c r="B109" s="7" t="s">
        <v>39</v>
      </c>
      <c r="C109" s="8">
        <f t="shared" si="11"/>
        <v>0</v>
      </c>
      <c r="D109" s="8"/>
      <c r="E109" s="8">
        <f t="shared" si="7"/>
        <v>0</v>
      </c>
      <c r="F109" s="8"/>
      <c r="G109" s="8">
        <f t="shared" si="8"/>
        <v>0</v>
      </c>
      <c r="H109" s="9">
        <v>9000</v>
      </c>
      <c r="I109" s="8">
        <f t="shared" si="9"/>
        <v>0</v>
      </c>
      <c r="J109" s="8">
        <f t="shared" si="12"/>
        <v>0</v>
      </c>
      <c r="K109" s="8">
        <v>0</v>
      </c>
    </row>
    <row r="110" spans="1:11">
      <c r="A110" s="7">
        <v>29</v>
      </c>
      <c r="B110" s="7" t="s">
        <v>40</v>
      </c>
      <c r="C110" s="8">
        <f t="shared" si="11"/>
        <v>0</v>
      </c>
      <c r="D110" s="8"/>
      <c r="E110" s="8">
        <f t="shared" si="7"/>
        <v>0</v>
      </c>
      <c r="F110" s="8"/>
      <c r="G110" s="8">
        <f t="shared" si="8"/>
        <v>0</v>
      </c>
      <c r="H110" s="9">
        <v>9000</v>
      </c>
      <c r="I110" s="8">
        <f t="shared" si="9"/>
        <v>0</v>
      </c>
      <c r="J110" s="8">
        <f t="shared" si="12"/>
        <v>0</v>
      </c>
      <c r="K110" s="8">
        <v>0</v>
      </c>
    </row>
    <row r="111" spans="1:11">
      <c r="A111" s="7">
        <v>30</v>
      </c>
      <c r="B111" s="7" t="s">
        <v>41</v>
      </c>
      <c r="C111" s="8">
        <f t="shared" si="11"/>
        <v>0</v>
      </c>
      <c r="D111" s="8"/>
      <c r="E111" s="8">
        <f t="shared" si="7"/>
        <v>0</v>
      </c>
      <c r="F111" s="8"/>
      <c r="G111" s="8">
        <f t="shared" si="8"/>
        <v>0</v>
      </c>
      <c r="H111" s="9">
        <v>9000</v>
      </c>
      <c r="I111" s="8">
        <f t="shared" si="9"/>
        <v>0</v>
      </c>
      <c r="J111" s="8">
        <f t="shared" si="12"/>
        <v>0</v>
      </c>
      <c r="K111" s="8">
        <v>0</v>
      </c>
    </row>
    <row r="112" spans="1:11">
      <c r="A112" s="7">
        <v>31</v>
      </c>
      <c r="B112" s="7" t="s">
        <v>42</v>
      </c>
      <c r="C112" s="8">
        <f t="shared" si="11"/>
        <v>2</v>
      </c>
      <c r="D112" s="8"/>
      <c r="E112" s="8">
        <f t="shared" si="7"/>
        <v>2</v>
      </c>
      <c r="F112" s="8"/>
      <c r="G112" s="8">
        <f t="shared" si="8"/>
        <v>2</v>
      </c>
      <c r="H112" s="9">
        <v>9000</v>
      </c>
      <c r="I112" s="8">
        <f t="shared" si="9"/>
        <v>0</v>
      </c>
      <c r="J112" s="8">
        <f t="shared" si="12"/>
        <v>18000</v>
      </c>
      <c r="K112" s="8">
        <v>0</v>
      </c>
    </row>
    <row r="113" spans="1:11">
      <c r="A113" s="7">
        <v>32</v>
      </c>
      <c r="B113" s="7" t="s">
        <v>43</v>
      </c>
      <c r="C113" s="8">
        <f t="shared" si="11"/>
        <v>0</v>
      </c>
      <c r="D113" s="8"/>
      <c r="E113" s="8">
        <f t="shared" si="7"/>
        <v>0</v>
      </c>
      <c r="F113" s="8"/>
      <c r="G113" s="8">
        <f t="shared" si="8"/>
        <v>0</v>
      </c>
      <c r="H113" s="9">
        <v>3000</v>
      </c>
      <c r="I113" s="8">
        <f t="shared" si="9"/>
        <v>0</v>
      </c>
      <c r="J113" s="8">
        <f t="shared" si="12"/>
        <v>0</v>
      </c>
      <c r="K113" s="8">
        <v>0</v>
      </c>
    </row>
    <row r="114" spans="1:11">
      <c r="A114" s="7">
        <v>33</v>
      </c>
      <c r="B114" s="7" t="s">
        <v>44</v>
      </c>
      <c r="C114" s="8">
        <f t="shared" si="11"/>
        <v>6</v>
      </c>
      <c r="D114" s="8"/>
      <c r="E114" s="8">
        <f t="shared" si="7"/>
        <v>6</v>
      </c>
      <c r="F114" s="8"/>
      <c r="G114" s="8">
        <f t="shared" si="8"/>
        <v>6</v>
      </c>
      <c r="H114" s="9">
        <v>3000</v>
      </c>
      <c r="I114" s="8">
        <f t="shared" si="9"/>
        <v>0</v>
      </c>
      <c r="J114" s="8">
        <f t="shared" si="12"/>
        <v>18000</v>
      </c>
      <c r="K114" s="8">
        <v>0</v>
      </c>
    </row>
    <row r="115" spans="1:11">
      <c r="A115" s="7">
        <v>34</v>
      </c>
      <c r="B115" s="7" t="s">
        <v>45</v>
      </c>
      <c r="C115" s="8">
        <f t="shared" si="11"/>
        <v>1</v>
      </c>
      <c r="D115" s="8"/>
      <c r="E115" s="8">
        <f t="shared" si="7"/>
        <v>1</v>
      </c>
      <c r="F115" s="8"/>
      <c r="G115" s="8">
        <f t="shared" si="8"/>
        <v>1</v>
      </c>
      <c r="H115" s="9">
        <v>3000</v>
      </c>
      <c r="I115" s="8">
        <f t="shared" si="9"/>
        <v>0</v>
      </c>
      <c r="J115" s="8">
        <f t="shared" si="12"/>
        <v>3000</v>
      </c>
      <c r="K115" s="8">
        <v>0</v>
      </c>
    </row>
    <row r="116" spans="1:11">
      <c r="A116" s="7">
        <v>35</v>
      </c>
      <c r="B116" s="7" t="s">
        <v>46</v>
      </c>
      <c r="C116" s="8">
        <f t="shared" si="11"/>
        <v>3</v>
      </c>
      <c r="D116" s="8"/>
      <c r="E116" s="8">
        <f t="shared" si="7"/>
        <v>3</v>
      </c>
      <c r="F116" s="8"/>
      <c r="G116" s="8">
        <f t="shared" si="8"/>
        <v>3</v>
      </c>
      <c r="H116" s="9">
        <v>5000</v>
      </c>
      <c r="I116" s="8">
        <f t="shared" si="9"/>
        <v>0</v>
      </c>
      <c r="J116" s="8">
        <f t="shared" si="12"/>
        <v>15000</v>
      </c>
      <c r="K116" s="8">
        <v>0</v>
      </c>
    </row>
    <row r="117" spans="1:11">
      <c r="A117" s="7">
        <v>36</v>
      </c>
      <c r="B117" s="7" t="s">
        <v>47</v>
      </c>
      <c r="C117" s="8">
        <f t="shared" si="11"/>
        <v>2</v>
      </c>
      <c r="D117" s="8"/>
      <c r="E117" s="8">
        <f t="shared" si="7"/>
        <v>2</v>
      </c>
      <c r="F117" s="8"/>
      <c r="G117" s="8">
        <f t="shared" si="8"/>
        <v>2</v>
      </c>
      <c r="H117" s="9">
        <v>5000</v>
      </c>
      <c r="I117" s="8">
        <f t="shared" si="9"/>
        <v>0</v>
      </c>
      <c r="J117" s="8">
        <f t="shared" si="12"/>
        <v>10000</v>
      </c>
      <c r="K117" s="8">
        <v>0</v>
      </c>
    </row>
    <row r="118" spans="1:11">
      <c r="A118" s="7">
        <v>37</v>
      </c>
      <c r="B118" s="7" t="s">
        <v>48</v>
      </c>
      <c r="C118" s="8">
        <f t="shared" si="11"/>
        <v>1</v>
      </c>
      <c r="D118" s="8"/>
      <c r="E118" s="8">
        <f t="shared" si="7"/>
        <v>1</v>
      </c>
      <c r="F118" s="8"/>
      <c r="G118" s="8">
        <f t="shared" si="8"/>
        <v>1</v>
      </c>
      <c r="H118" s="9">
        <v>5000</v>
      </c>
      <c r="I118" s="8">
        <f t="shared" si="9"/>
        <v>0</v>
      </c>
      <c r="J118" s="8">
        <f t="shared" si="12"/>
        <v>5000</v>
      </c>
      <c r="K118" s="8">
        <v>0</v>
      </c>
    </row>
    <row r="119" spans="1:11">
      <c r="A119" s="11">
        <v>38</v>
      </c>
      <c r="B119" s="7" t="s">
        <v>49</v>
      </c>
      <c r="C119" s="8">
        <f t="shared" si="11"/>
        <v>0</v>
      </c>
      <c r="D119" s="8"/>
      <c r="E119" s="8">
        <f t="shared" si="7"/>
        <v>0</v>
      </c>
      <c r="F119" s="8"/>
      <c r="G119" s="8">
        <f t="shared" si="8"/>
        <v>0</v>
      </c>
      <c r="H119" s="9">
        <v>5000</v>
      </c>
      <c r="I119" s="8">
        <f t="shared" si="9"/>
        <v>0</v>
      </c>
      <c r="J119" s="8">
        <f t="shared" si="12"/>
        <v>0</v>
      </c>
      <c r="K119" s="10"/>
    </row>
    <row r="120" spans="1:11">
      <c r="A120" s="7">
        <v>39</v>
      </c>
      <c r="B120" s="7" t="s">
        <v>50</v>
      </c>
      <c r="C120" s="8">
        <f t="shared" si="11"/>
        <v>3</v>
      </c>
      <c r="D120" s="8"/>
      <c r="E120" s="8">
        <f t="shared" si="7"/>
        <v>3</v>
      </c>
      <c r="F120" s="8"/>
      <c r="G120" s="8">
        <f t="shared" si="8"/>
        <v>3</v>
      </c>
      <c r="H120" s="12">
        <v>3000</v>
      </c>
      <c r="I120" s="13">
        <f t="shared" si="9"/>
        <v>0</v>
      </c>
      <c r="J120" s="14">
        <f t="shared" si="12"/>
        <v>9000</v>
      </c>
      <c r="K120" s="13">
        <v>0</v>
      </c>
    </row>
    <row r="121" spans="1:11">
      <c r="A121" s="7">
        <v>40</v>
      </c>
      <c r="B121" s="7" t="s">
        <v>51</v>
      </c>
      <c r="C121" s="8">
        <f t="shared" si="11"/>
        <v>4</v>
      </c>
      <c r="D121" s="8"/>
      <c r="E121" s="8">
        <f t="shared" si="7"/>
        <v>4</v>
      </c>
      <c r="F121" s="8"/>
      <c r="G121" s="8">
        <f t="shared" si="8"/>
        <v>4</v>
      </c>
      <c r="H121" s="9">
        <v>3000</v>
      </c>
      <c r="I121" s="8">
        <f t="shared" si="9"/>
        <v>0</v>
      </c>
      <c r="J121" s="8">
        <f t="shared" si="12"/>
        <v>12000</v>
      </c>
      <c r="K121" s="8">
        <v>0</v>
      </c>
    </row>
    <row r="122" spans="1:11">
      <c r="A122" s="7">
        <v>41</v>
      </c>
      <c r="B122" s="7" t="s">
        <v>52</v>
      </c>
      <c r="C122" s="8">
        <f t="shared" si="11"/>
        <v>0</v>
      </c>
      <c r="D122" s="8"/>
      <c r="E122" s="8">
        <f t="shared" si="7"/>
        <v>0</v>
      </c>
      <c r="F122" s="8"/>
      <c r="G122" s="8">
        <f t="shared" si="8"/>
        <v>0</v>
      </c>
      <c r="H122" s="9">
        <v>3000</v>
      </c>
      <c r="I122" s="8">
        <f t="shared" si="9"/>
        <v>0</v>
      </c>
      <c r="J122" s="8">
        <v>0</v>
      </c>
      <c r="K122" s="10">
        <f t="shared" ref="K122:K128" si="13">G122*H122</f>
        <v>0</v>
      </c>
    </row>
    <row r="123" spans="1:11">
      <c r="A123" s="7">
        <v>42</v>
      </c>
      <c r="B123" s="31" t="s">
        <v>53</v>
      </c>
      <c r="C123" s="8">
        <v>0</v>
      </c>
      <c r="D123" s="8"/>
      <c r="E123" s="8">
        <f t="shared" si="7"/>
        <v>0</v>
      </c>
      <c r="F123" s="8"/>
      <c r="G123" s="8">
        <f t="shared" si="8"/>
        <v>0</v>
      </c>
      <c r="H123" s="9">
        <v>2000</v>
      </c>
      <c r="I123" s="8">
        <f t="shared" si="9"/>
        <v>0</v>
      </c>
      <c r="J123" s="8">
        <f>G123*H123</f>
        <v>0</v>
      </c>
      <c r="K123" s="8">
        <f t="shared" si="13"/>
        <v>0</v>
      </c>
    </row>
    <row r="124" spans="1:11">
      <c r="A124" s="7">
        <v>43</v>
      </c>
      <c r="B124" s="31" t="s">
        <v>54</v>
      </c>
      <c r="C124" s="8">
        <v>0</v>
      </c>
      <c r="D124" s="8"/>
      <c r="E124" s="8">
        <f t="shared" si="7"/>
        <v>0</v>
      </c>
      <c r="F124" s="8"/>
      <c r="G124" s="8">
        <f t="shared" si="8"/>
        <v>0</v>
      </c>
      <c r="H124" s="9">
        <v>2000</v>
      </c>
      <c r="I124" s="8">
        <f t="shared" si="9"/>
        <v>0</v>
      </c>
      <c r="J124" s="8">
        <v>0</v>
      </c>
      <c r="K124" s="10">
        <f t="shared" si="13"/>
        <v>0</v>
      </c>
    </row>
    <row r="125" spans="1:11">
      <c r="A125" s="7">
        <v>44</v>
      </c>
      <c r="B125" s="31" t="s">
        <v>55</v>
      </c>
      <c r="C125" s="8">
        <v>0</v>
      </c>
      <c r="D125" s="8"/>
      <c r="E125" s="8">
        <f t="shared" si="7"/>
        <v>0</v>
      </c>
      <c r="F125" s="8"/>
      <c r="G125" s="8">
        <f t="shared" si="8"/>
        <v>0</v>
      </c>
      <c r="H125" s="9">
        <v>2000</v>
      </c>
      <c r="I125" s="8">
        <f t="shared" si="9"/>
        <v>0</v>
      </c>
      <c r="J125" s="8">
        <v>0</v>
      </c>
      <c r="K125" s="10">
        <f t="shared" si="13"/>
        <v>0</v>
      </c>
    </row>
    <row r="126" spans="1:11">
      <c r="A126" s="7">
        <v>45</v>
      </c>
      <c r="B126" s="31" t="s">
        <v>55</v>
      </c>
      <c r="C126" s="8">
        <v>0</v>
      </c>
      <c r="D126" s="8"/>
      <c r="E126" s="8">
        <f t="shared" si="7"/>
        <v>0</v>
      </c>
      <c r="F126" s="8"/>
      <c r="G126" s="8">
        <f t="shared" si="8"/>
        <v>0</v>
      </c>
      <c r="H126" s="9">
        <v>3000</v>
      </c>
      <c r="I126" s="8">
        <f t="shared" si="9"/>
        <v>0</v>
      </c>
      <c r="J126" s="8">
        <v>0</v>
      </c>
      <c r="K126" s="10">
        <f t="shared" si="13"/>
        <v>0</v>
      </c>
    </row>
    <row r="127" spans="1:11">
      <c r="A127" s="7">
        <v>46</v>
      </c>
      <c r="B127" s="31" t="s">
        <v>56</v>
      </c>
      <c r="C127" s="8">
        <v>0</v>
      </c>
      <c r="D127" s="8"/>
      <c r="E127" s="8">
        <f t="shared" si="7"/>
        <v>0</v>
      </c>
      <c r="F127" s="8"/>
      <c r="G127" s="8">
        <f t="shared" si="8"/>
        <v>0</v>
      </c>
      <c r="H127" s="9">
        <v>3000</v>
      </c>
      <c r="I127" s="8">
        <f t="shared" si="9"/>
        <v>0</v>
      </c>
      <c r="J127" s="8">
        <v>0</v>
      </c>
      <c r="K127" s="10">
        <f t="shared" si="13"/>
        <v>0</v>
      </c>
    </row>
    <row r="128" spans="1:11">
      <c r="A128" s="7">
        <v>47</v>
      </c>
      <c r="B128" s="31" t="s">
        <v>57</v>
      </c>
      <c r="C128" s="8">
        <v>0</v>
      </c>
      <c r="D128" s="8"/>
      <c r="E128" s="8">
        <f t="shared" si="7"/>
        <v>0</v>
      </c>
      <c r="F128" s="8"/>
      <c r="G128" s="8">
        <f t="shared" si="8"/>
        <v>0</v>
      </c>
      <c r="H128" s="9">
        <v>3000</v>
      </c>
      <c r="I128" s="8">
        <f t="shared" si="9"/>
        <v>0</v>
      </c>
      <c r="J128" s="8">
        <v>0</v>
      </c>
      <c r="K128" s="10">
        <f t="shared" si="13"/>
        <v>0</v>
      </c>
    </row>
    <row r="129" spans="1:11">
      <c r="A129" s="7">
        <v>48</v>
      </c>
      <c r="B129" s="7" t="s">
        <v>58</v>
      </c>
      <c r="C129" s="8">
        <f t="shared" ref="C129:C135" si="14">G52</f>
        <v>0</v>
      </c>
      <c r="D129" s="8"/>
      <c r="E129" s="8">
        <f t="shared" si="7"/>
        <v>0</v>
      </c>
      <c r="F129" s="8"/>
      <c r="G129" s="8">
        <f t="shared" si="8"/>
        <v>0</v>
      </c>
      <c r="H129" s="9">
        <v>2000</v>
      </c>
      <c r="I129" s="8">
        <f t="shared" si="9"/>
        <v>0</v>
      </c>
      <c r="J129" s="8">
        <f t="shared" ref="J129:J140" si="15">G129*H129</f>
        <v>0</v>
      </c>
      <c r="K129" s="8">
        <v>0</v>
      </c>
    </row>
    <row r="130" spans="1:11">
      <c r="A130" s="7">
        <v>49</v>
      </c>
      <c r="B130" s="7" t="s">
        <v>59</v>
      </c>
      <c r="C130" s="8">
        <f t="shared" si="14"/>
        <v>0</v>
      </c>
      <c r="D130" s="8"/>
      <c r="E130" s="8">
        <f t="shared" si="7"/>
        <v>0</v>
      </c>
      <c r="F130" s="8"/>
      <c r="G130" s="8">
        <f t="shared" si="8"/>
        <v>0</v>
      </c>
      <c r="H130" s="9">
        <v>2000</v>
      </c>
      <c r="I130" s="8">
        <f t="shared" si="9"/>
        <v>0</v>
      </c>
      <c r="J130" s="8">
        <f t="shared" si="15"/>
        <v>0</v>
      </c>
      <c r="K130" s="8">
        <v>0</v>
      </c>
    </row>
    <row r="131" spans="1:11">
      <c r="A131" s="7">
        <v>50</v>
      </c>
      <c r="B131" s="7" t="s">
        <v>60</v>
      </c>
      <c r="C131" s="8">
        <f t="shared" si="14"/>
        <v>3</v>
      </c>
      <c r="D131" s="8"/>
      <c r="E131" s="8">
        <f t="shared" si="7"/>
        <v>3</v>
      </c>
      <c r="F131" s="8"/>
      <c r="G131" s="8">
        <f t="shared" si="8"/>
        <v>3</v>
      </c>
      <c r="H131" s="9">
        <v>2000</v>
      </c>
      <c r="I131" s="8">
        <f t="shared" si="9"/>
        <v>0</v>
      </c>
      <c r="J131" s="8">
        <v>0</v>
      </c>
      <c r="K131" s="8">
        <v>0</v>
      </c>
    </row>
    <row r="132" spans="1:11">
      <c r="A132" s="7">
        <v>51</v>
      </c>
      <c r="B132" s="7" t="s">
        <v>61</v>
      </c>
      <c r="C132" s="8">
        <f t="shared" si="14"/>
        <v>1</v>
      </c>
      <c r="D132" s="8"/>
      <c r="E132" s="8">
        <f t="shared" si="7"/>
        <v>1</v>
      </c>
      <c r="F132" s="8"/>
      <c r="G132" s="8">
        <f t="shared" si="8"/>
        <v>1</v>
      </c>
      <c r="H132" s="9">
        <v>5000</v>
      </c>
      <c r="I132" s="8">
        <f t="shared" si="9"/>
        <v>0</v>
      </c>
      <c r="J132" s="8">
        <f t="shared" si="15"/>
        <v>5000</v>
      </c>
      <c r="K132" s="8">
        <v>0</v>
      </c>
    </row>
    <row r="133" spans="1:11">
      <c r="A133" s="7">
        <v>52</v>
      </c>
      <c r="B133" s="7" t="s">
        <v>62</v>
      </c>
      <c r="C133" s="8">
        <f t="shared" si="14"/>
        <v>0</v>
      </c>
      <c r="D133" s="8"/>
      <c r="E133" s="8">
        <f t="shared" si="7"/>
        <v>0</v>
      </c>
      <c r="F133" s="8"/>
      <c r="G133" s="8">
        <f t="shared" si="8"/>
        <v>0</v>
      </c>
      <c r="H133" s="9">
        <v>5000</v>
      </c>
      <c r="I133" s="8">
        <f t="shared" si="9"/>
        <v>0</v>
      </c>
      <c r="J133" s="8">
        <f t="shared" si="15"/>
        <v>0</v>
      </c>
      <c r="K133" s="8">
        <v>0</v>
      </c>
    </row>
    <row r="134" spans="1:11">
      <c r="A134" s="7">
        <v>53</v>
      </c>
      <c r="B134" s="7" t="s">
        <v>63</v>
      </c>
      <c r="C134" s="8">
        <f t="shared" si="14"/>
        <v>4</v>
      </c>
      <c r="D134" s="8"/>
      <c r="E134" s="8">
        <f t="shared" si="7"/>
        <v>4</v>
      </c>
      <c r="F134" s="8"/>
      <c r="G134" s="8">
        <f t="shared" si="8"/>
        <v>4</v>
      </c>
      <c r="H134" s="9">
        <v>5000</v>
      </c>
      <c r="I134" s="8">
        <f t="shared" si="9"/>
        <v>0</v>
      </c>
      <c r="J134" s="8">
        <f t="shared" si="15"/>
        <v>20000</v>
      </c>
      <c r="K134" s="8">
        <v>0</v>
      </c>
    </row>
    <row r="135" spans="1:11">
      <c r="A135" s="7">
        <v>54</v>
      </c>
      <c r="B135" s="7" t="s">
        <v>64</v>
      </c>
      <c r="C135" s="8">
        <f t="shared" si="14"/>
        <v>4</v>
      </c>
      <c r="D135" s="8"/>
      <c r="E135" s="8">
        <f t="shared" si="7"/>
        <v>4</v>
      </c>
      <c r="F135" s="8"/>
      <c r="G135" s="8">
        <f t="shared" si="8"/>
        <v>4</v>
      </c>
      <c r="H135" s="8">
        <v>1000</v>
      </c>
      <c r="I135" s="8">
        <f t="shared" si="9"/>
        <v>0</v>
      </c>
      <c r="J135" s="8">
        <f t="shared" si="15"/>
        <v>4000</v>
      </c>
      <c r="K135" s="8">
        <f>G135*H135</f>
        <v>4000</v>
      </c>
    </row>
    <row r="136" spans="1:11">
      <c r="A136" s="7">
        <v>55</v>
      </c>
      <c r="B136" s="7"/>
      <c r="C136" s="8"/>
      <c r="D136" s="8"/>
      <c r="E136" s="8">
        <f t="shared" si="7"/>
        <v>0</v>
      </c>
      <c r="F136" s="8"/>
      <c r="G136" s="8">
        <f t="shared" si="8"/>
        <v>0</v>
      </c>
      <c r="H136" s="8">
        <v>0</v>
      </c>
      <c r="I136" s="8">
        <f t="shared" si="9"/>
        <v>0</v>
      </c>
      <c r="J136" s="8">
        <f t="shared" si="15"/>
        <v>0</v>
      </c>
      <c r="K136" s="8">
        <v>0</v>
      </c>
    </row>
    <row r="137" spans="1:11">
      <c r="A137" s="7">
        <v>56</v>
      </c>
      <c r="B137" s="11" t="s">
        <v>65</v>
      </c>
      <c r="C137" s="16"/>
      <c r="D137" s="16"/>
      <c r="E137" s="8">
        <f t="shared" si="7"/>
        <v>0</v>
      </c>
      <c r="F137" s="16"/>
      <c r="G137" s="16">
        <f t="shared" si="8"/>
        <v>0</v>
      </c>
      <c r="H137" s="16">
        <v>25000</v>
      </c>
      <c r="I137" s="16">
        <f t="shared" si="9"/>
        <v>0</v>
      </c>
      <c r="J137" s="16">
        <f t="shared" si="15"/>
        <v>0</v>
      </c>
      <c r="K137" s="16">
        <v>0</v>
      </c>
    </row>
    <row r="138" spans="1:11">
      <c r="A138" s="7">
        <v>57</v>
      </c>
      <c r="B138" s="11" t="s">
        <v>66</v>
      </c>
      <c r="C138" s="16"/>
      <c r="D138" s="16"/>
      <c r="E138" s="8">
        <f t="shared" si="7"/>
        <v>0</v>
      </c>
      <c r="F138" s="16"/>
      <c r="G138" s="16">
        <f t="shared" si="8"/>
        <v>0</v>
      </c>
      <c r="H138" s="16">
        <v>15000</v>
      </c>
      <c r="I138" s="16">
        <f t="shared" si="9"/>
        <v>0</v>
      </c>
      <c r="J138" s="16">
        <f t="shared" si="15"/>
        <v>0</v>
      </c>
      <c r="K138" s="16">
        <v>0</v>
      </c>
    </row>
    <row r="139" spans="1:11">
      <c r="A139" s="7">
        <v>58</v>
      </c>
      <c r="B139" s="11" t="s">
        <v>67</v>
      </c>
      <c r="C139" s="16"/>
      <c r="D139" s="16">
        <v>50</v>
      </c>
      <c r="E139" s="8">
        <f t="shared" si="7"/>
        <v>50</v>
      </c>
      <c r="F139" s="16">
        <v>50</v>
      </c>
      <c r="G139" s="16">
        <f t="shared" si="8"/>
        <v>0</v>
      </c>
      <c r="H139" s="16">
        <v>20000</v>
      </c>
      <c r="I139" s="16">
        <f t="shared" si="9"/>
        <v>1000000</v>
      </c>
      <c r="J139" s="16">
        <f t="shared" si="15"/>
        <v>0</v>
      </c>
      <c r="K139" s="16">
        <v>0</v>
      </c>
    </row>
    <row r="140" spans="1:11">
      <c r="A140" s="7">
        <v>59</v>
      </c>
      <c r="B140" s="7"/>
      <c r="C140" s="8"/>
      <c r="D140" s="8"/>
      <c r="E140" s="8"/>
      <c r="F140" s="8"/>
      <c r="G140" s="8"/>
      <c r="H140" s="8">
        <v>0</v>
      </c>
      <c r="I140" s="8">
        <f t="shared" si="9"/>
        <v>0</v>
      </c>
      <c r="J140" s="8">
        <f t="shared" si="15"/>
        <v>0</v>
      </c>
      <c r="K140" s="8">
        <v>0</v>
      </c>
    </row>
    <row r="141" spans="1:11">
      <c r="A141" s="7">
        <v>60</v>
      </c>
      <c r="B141" s="7"/>
      <c r="C141" s="8"/>
      <c r="D141" s="8"/>
      <c r="E141" s="8"/>
      <c r="F141" s="8"/>
      <c r="G141" s="8"/>
      <c r="H141" s="8"/>
      <c r="I141" s="8"/>
      <c r="J141" s="8"/>
      <c r="K141" s="8"/>
    </row>
    <row r="142" spans="1:11">
      <c r="A142" s="7">
        <v>61</v>
      </c>
      <c r="B142" s="7"/>
      <c r="C142" s="8"/>
      <c r="D142" s="8"/>
      <c r="E142" s="8"/>
      <c r="F142" s="8"/>
      <c r="G142" s="8"/>
      <c r="H142" s="8"/>
      <c r="I142" s="8"/>
      <c r="J142" s="8"/>
      <c r="K142" s="8"/>
    </row>
    <row r="143" spans="1:11">
      <c r="A143" s="7">
        <v>62</v>
      </c>
      <c r="B143" s="7"/>
      <c r="C143" s="8"/>
      <c r="D143" s="8"/>
      <c r="E143" s="8"/>
      <c r="F143" s="8"/>
      <c r="G143" s="8"/>
      <c r="H143" s="8"/>
      <c r="I143" s="8"/>
      <c r="J143" s="8"/>
      <c r="K143" s="8"/>
    </row>
    <row r="144" spans="1:11">
      <c r="A144" s="7">
        <v>63</v>
      </c>
      <c r="B144" s="7"/>
      <c r="C144" s="8"/>
      <c r="D144" s="8"/>
      <c r="E144" s="8"/>
      <c r="F144" s="8"/>
      <c r="G144" s="8"/>
      <c r="H144" s="8"/>
      <c r="I144" s="8"/>
      <c r="J144" s="8"/>
      <c r="K144" s="8"/>
    </row>
    <row r="145" spans="1:11">
      <c r="A145" s="7">
        <v>64</v>
      </c>
      <c r="B145" s="7"/>
      <c r="C145" s="8"/>
      <c r="D145" s="8"/>
      <c r="E145" s="8"/>
      <c r="F145" s="8"/>
      <c r="G145" s="8"/>
      <c r="H145" s="8"/>
      <c r="I145" s="8"/>
      <c r="J145" s="8"/>
      <c r="K145" s="8"/>
    </row>
    <row r="146" spans="1:11">
      <c r="A146" s="7">
        <v>65</v>
      </c>
      <c r="B146" s="7"/>
      <c r="C146" s="8"/>
      <c r="D146" s="8"/>
      <c r="E146" s="8"/>
      <c r="F146" s="8"/>
      <c r="G146" s="8"/>
      <c r="H146" s="8">
        <v>0</v>
      </c>
      <c r="I146" s="8">
        <f>H146*F146</f>
        <v>0</v>
      </c>
      <c r="J146" s="8">
        <f>G146*H146</f>
        <v>0</v>
      </c>
      <c r="K146" s="8">
        <v>0</v>
      </c>
    </row>
    <row r="147" spans="1:11">
      <c r="A147" s="32" t="s">
        <v>68</v>
      </c>
      <c r="B147" s="32"/>
      <c r="C147" s="32"/>
      <c r="D147" s="32"/>
      <c r="E147" s="32"/>
      <c r="F147" s="32"/>
      <c r="G147" s="32"/>
      <c r="H147" s="33"/>
      <c r="I147" s="34">
        <f>SUM(I81:I146)</f>
        <v>1000000</v>
      </c>
      <c r="J147" s="34">
        <f>SUM(J86:J146)</f>
        <v>266000</v>
      </c>
      <c r="K147" s="34">
        <f>SUM(K81:K146)</f>
        <v>4000</v>
      </c>
    </row>
    <row r="148" ht="15.3" spans="1:1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 spans="1:11">
      <c r="A149" s="20" t="s">
        <v>69</v>
      </c>
      <c r="B149" s="20"/>
      <c r="C149" s="20"/>
      <c r="D149" s="20"/>
      <c r="E149" s="20"/>
      <c r="F149" s="20"/>
      <c r="G149" s="20"/>
      <c r="H149" s="20"/>
      <c r="I149" s="21">
        <v>350000</v>
      </c>
      <c r="J149" s="35" t="s">
        <v>77</v>
      </c>
      <c r="K149" s="36"/>
    </row>
    <row r="150" spans="1:11">
      <c r="A150" s="20" t="s">
        <v>71</v>
      </c>
      <c r="B150" s="20"/>
      <c r="C150" s="20"/>
      <c r="D150" s="20"/>
      <c r="E150" s="20"/>
      <c r="F150" s="20"/>
      <c r="G150" s="20"/>
      <c r="H150" s="20"/>
      <c r="I150" s="21">
        <v>1120000</v>
      </c>
      <c r="J150" s="37"/>
      <c r="K150" s="38"/>
    </row>
    <row r="151" spans="1:11">
      <c r="A151" s="20" t="s">
        <v>78</v>
      </c>
      <c r="B151" s="20"/>
      <c r="C151" s="20"/>
      <c r="D151" s="20"/>
      <c r="E151" s="20"/>
      <c r="F151" s="20"/>
      <c r="G151" s="20"/>
      <c r="H151" s="20"/>
      <c r="I151" s="21">
        <v>300000</v>
      </c>
      <c r="J151" s="39"/>
      <c r="K151" s="40"/>
    </row>
    <row r="152" ht="15.3" spans="1:11">
      <c r="A152" s="20" t="s">
        <v>72</v>
      </c>
      <c r="B152" s="20"/>
      <c r="C152" s="20"/>
      <c r="D152" s="20"/>
      <c r="E152" s="20"/>
      <c r="F152" s="20"/>
      <c r="G152" s="20"/>
      <c r="H152" s="20"/>
      <c r="I152" s="21">
        <f>SUM(I149:I151)</f>
        <v>1770000</v>
      </c>
      <c r="J152" s="41"/>
      <c r="K152" s="42"/>
    </row>
    <row r="153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</sheetData>
  <mergeCells count="14">
    <mergeCell ref="A70:G70"/>
    <mergeCell ref="A71:K71"/>
    <mergeCell ref="A72:H72"/>
    <mergeCell ref="A73:H73"/>
    <mergeCell ref="A74:H74"/>
    <mergeCell ref="A147:G147"/>
    <mergeCell ref="A148:K148"/>
    <mergeCell ref="A149:H149"/>
    <mergeCell ref="A150:H150"/>
    <mergeCell ref="A151:H151"/>
    <mergeCell ref="A152:H152"/>
    <mergeCell ref="J72:K74"/>
    <mergeCell ref="A1:K2"/>
    <mergeCell ref="J149:K1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B1" sqref="B1"/>
    </sheetView>
  </sheetViews>
  <sheetFormatPr defaultColWidth="9.1" defaultRowHeight="14.55" outlineLevelCol="2"/>
  <sheetData>
    <row r="1" spans="1:3">
      <c r="A1" s="3" t="s">
        <v>79</v>
      </c>
      <c r="B1" s="3"/>
      <c r="C1" s="3"/>
    </row>
    <row r="2" spans="1:3">
      <c r="A2" s="3"/>
      <c r="B2" s="3"/>
      <c r="C2" s="3"/>
    </row>
    <row r="3" spans="1:3">
      <c r="A3" s="3" t="s">
        <v>74</v>
      </c>
      <c r="B3" s="3"/>
      <c r="C3" s="3" t="s">
        <v>80</v>
      </c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 t="s">
        <v>81</v>
      </c>
      <c r="B6" s="3"/>
      <c r="C6" s="3"/>
    </row>
    <row r="7" spans="1:3">
      <c r="A7" s="3" t="s">
        <v>82</v>
      </c>
      <c r="B7" s="3"/>
      <c r="C7" s="3"/>
    </row>
    <row r="8" spans="1:3">
      <c r="A8" s="3" t="s">
        <v>83</v>
      </c>
      <c r="B8" s="3"/>
      <c r="C8" s="3"/>
    </row>
    <row r="9" spans="1:3">
      <c r="A9" s="3" t="s">
        <v>84</v>
      </c>
      <c r="B9" s="3"/>
      <c r="C9" s="3"/>
    </row>
    <row r="10" spans="1:3">
      <c r="A10" s="3" t="s">
        <v>85</v>
      </c>
      <c r="B10" s="3"/>
      <c r="C10" s="3"/>
    </row>
    <row r="11" spans="1:3">
      <c r="A11" s="3" t="s">
        <v>86</v>
      </c>
      <c r="B11" s="3"/>
      <c r="C11" s="3"/>
    </row>
    <row r="12" spans="1:3">
      <c r="A12" s="3" t="s">
        <v>87</v>
      </c>
      <c r="B12" s="3"/>
      <c r="C12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A7" sqref="A7"/>
    </sheetView>
  </sheetViews>
  <sheetFormatPr defaultColWidth="9.1" defaultRowHeight="14.55" outlineLevelRow="6" outlineLevelCol="2"/>
  <cols>
    <col min="1" max="1" width="24.2083333333333" customWidth="1"/>
    <col min="2" max="2" width="25.6416666666667" customWidth="1"/>
    <col min="3" max="3" width="20.0666666666667" customWidth="1"/>
  </cols>
  <sheetData>
    <row r="2" spans="1:3">
      <c r="A2" t="s">
        <v>88</v>
      </c>
      <c r="B2" t="s">
        <v>89</v>
      </c>
    </row>
    <row r="3" spans="1:3">
      <c r="A3" t="s">
        <v>90</v>
      </c>
      <c r="B3" t="s">
        <v>91</v>
      </c>
    </row>
    <row r="4" spans="1:3">
      <c r="A4" t="s">
        <v>92</v>
      </c>
    </row>
    <row r="7" spans="1:3">
      <c r="A7" t="s">
        <v>93</v>
      </c>
      <c r="B7" t="s">
        <v>94</v>
      </c>
      <c r="C7" t="s">
        <v>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G14" sqref="G14"/>
    </sheetView>
  </sheetViews>
  <sheetFormatPr defaultColWidth="9.1" defaultRowHeight="14.55" outlineLevelRow="7" outlineLevelCol="1"/>
  <cols>
    <col min="1" max="1" width="26.8583333333333" customWidth="1"/>
  </cols>
  <sheetData>
    <row r="1" spans="1:2">
      <c r="A1" t="s">
        <v>88</v>
      </c>
    </row>
    <row r="2" spans="1:2">
      <c r="A2" t="s">
        <v>90</v>
      </c>
    </row>
    <row r="3" spans="1:2">
      <c r="A3" t="s">
        <v>92</v>
      </c>
    </row>
    <row r="5" spans="1:2">
      <c r="A5" t="s">
        <v>96</v>
      </c>
    </row>
    <row r="6" spans="1:2">
      <c r="A6" t="s">
        <v>97</v>
      </c>
    </row>
    <row r="7" spans="1:2">
      <c r="A7" t="s">
        <v>98</v>
      </c>
    </row>
    <row r="8" spans="1:2">
      <c r="A8" s="1" t="s">
        <v>95</v>
      </c>
      <c r="B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INPUT &amp; DTBASE Transaksi Cabang</vt:lpstr>
      <vt:lpstr>Data BAse Cost Cabang</vt:lpstr>
      <vt:lpstr>SUMMARY</vt:lpstr>
      <vt:lpstr>INPUT BELANJA HARIAN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hsl</cp:lastModifiedBy>
  <dcterms:created xsi:type="dcterms:W3CDTF">2026-09-15T12:56:15Z</dcterms:created>
  <dcterms:modified xsi:type="dcterms:W3CDTF">2026-09-15T13:12:15Z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2715E3ED9E8E37A1EFCFA86AFC1CE7C6_41</vt:lpwstr>
  </property>
  <property fmtid="{D5CDD505-2E9C-101B-9397-08002B2CF9AE}" pid="3" name="KSOProductBuildVer">
    <vt:lpwstr>1033-12.1.2.24819</vt:lpwstr>
  </property>
  <property fmtid="{D5CDD505-2E9C-101B-9397-08002B2CF9AE}" pid="4" name="CalculationRule">
    <vt:i4>1</vt:i4>
  </property>
</Properties>
</file>